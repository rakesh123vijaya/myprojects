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917bd1301fc7ed03/Desktop/New folder (3)/Excel-Retail-Sales-Dashboard/"/>
    </mc:Choice>
  </mc:AlternateContent>
  <xr:revisionPtr revIDLastSave="298" documentId="8_{7378E0CA-1800-4F2A-8C83-1B8A624D899C}" xr6:coauthVersionLast="47" xr6:coauthVersionMax="47" xr10:uidLastSave="{DB780653-BD44-48E6-A52E-191A9A59EBC4}"/>
  <bookViews>
    <workbookView xWindow="-108" yWindow="-108" windowWidth="23256" windowHeight="12456" activeTab="1" xr2:uid="{AAD4001D-5DE3-4A13-82C2-63D0F9881AD8}"/>
  </bookViews>
  <sheets>
    <sheet name="Sheet1" sheetId="1" r:id="rId1"/>
    <sheet name="pivot1" sheetId="8" r:id="rId2"/>
    <sheet name="pivot2" sheetId="10" r:id="rId3"/>
    <sheet name="pivot3" sheetId="12" r:id="rId4"/>
    <sheet name="pivot4" sheetId="13" r:id="rId5"/>
    <sheet name="Dashboard" sheetId="14" r:id="rId6"/>
    <sheet name="Dataset" sheetId="6" r:id="rId7"/>
  </sheets>
  <definedNames>
    <definedName name="Slicer_Category">#N/A</definedName>
    <definedName name="Slicer_Product1">#N/A</definedName>
    <definedName name="Slicer_Region">#N/A</definedName>
    <definedName name="Slicer_Salesperson1">#N/A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6" l="1"/>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2" i="6"/>
  <c r="G3" i="6"/>
  <c r="G4" i="6"/>
  <c r="G5" i="6"/>
  <c r="G6" i="6"/>
  <c r="I6" i="6" s="1"/>
  <c r="G7" i="6"/>
  <c r="I7" i="6" s="1"/>
  <c r="G8" i="6"/>
  <c r="I8" i="6" s="1"/>
  <c r="G9" i="6"/>
  <c r="I9" i="6" s="1"/>
  <c r="G10" i="6"/>
  <c r="G11" i="6"/>
  <c r="I11" i="6" s="1"/>
  <c r="G12" i="6"/>
  <c r="I12" i="6" s="1"/>
  <c r="G13" i="6"/>
  <c r="I13" i="6" s="1"/>
  <c r="G14" i="6"/>
  <c r="I14" i="6" s="1"/>
  <c r="G15" i="6"/>
  <c r="I15" i="6" s="1"/>
  <c r="G16" i="6"/>
  <c r="I16" i="6" s="1"/>
  <c r="G17" i="6"/>
  <c r="I17" i="6" s="1"/>
  <c r="G18" i="6"/>
  <c r="G19" i="6"/>
  <c r="I19" i="6" s="1"/>
  <c r="G20" i="6"/>
  <c r="I20" i="6" s="1"/>
  <c r="G21" i="6"/>
  <c r="I21" i="6" s="1"/>
  <c r="G22" i="6"/>
  <c r="I22" i="6" s="1"/>
  <c r="G23" i="6"/>
  <c r="I23" i="6" s="1"/>
  <c r="G24" i="6"/>
  <c r="I24" i="6" s="1"/>
  <c r="G25" i="6"/>
  <c r="I25" i="6" s="1"/>
  <c r="G26" i="6"/>
  <c r="I26" i="6" s="1"/>
  <c r="G27" i="6"/>
  <c r="I27" i="6" s="1"/>
  <c r="G28" i="6"/>
  <c r="I28" i="6" s="1"/>
  <c r="G29" i="6"/>
  <c r="I29" i="6" s="1"/>
  <c r="G30" i="6"/>
  <c r="I30" i="6" s="1"/>
  <c r="G31" i="6"/>
  <c r="I31" i="6" s="1"/>
  <c r="G32" i="6"/>
  <c r="I32" i="6" s="1"/>
  <c r="G33" i="6"/>
  <c r="I33" i="6" s="1"/>
  <c r="G34" i="6"/>
  <c r="I34" i="6" s="1"/>
  <c r="G35" i="6"/>
  <c r="I35" i="6" s="1"/>
  <c r="G36" i="6"/>
  <c r="I36" i="6" s="1"/>
  <c r="G37" i="6"/>
  <c r="I37" i="6" s="1"/>
  <c r="G38" i="6"/>
  <c r="I38" i="6" s="1"/>
  <c r="G39" i="6"/>
  <c r="I39" i="6" s="1"/>
  <c r="G40" i="6"/>
  <c r="I40" i="6" s="1"/>
  <c r="G41" i="6"/>
  <c r="I41" i="6" s="1"/>
  <c r="G42" i="6"/>
  <c r="I42" i="6" s="1"/>
  <c r="G43" i="6"/>
  <c r="I43" i="6" s="1"/>
  <c r="G44" i="6"/>
  <c r="I44" i="6" s="1"/>
  <c r="G45" i="6"/>
  <c r="I45" i="6" s="1"/>
  <c r="G46" i="6"/>
  <c r="I46" i="6" s="1"/>
  <c r="G47" i="6"/>
  <c r="I47" i="6" s="1"/>
  <c r="G48" i="6"/>
  <c r="I48" i="6" s="1"/>
  <c r="G49" i="6"/>
  <c r="I49" i="6" s="1"/>
  <c r="G50" i="6"/>
  <c r="I50" i="6" s="1"/>
  <c r="G51" i="6"/>
  <c r="I51" i="6" s="1"/>
  <c r="G52" i="6"/>
  <c r="I52" i="6" s="1"/>
  <c r="G53" i="6"/>
  <c r="I53" i="6" s="1"/>
  <c r="G54" i="6"/>
  <c r="I54" i="6" s="1"/>
  <c r="G55" i="6"/>
  <c r="I55" i="6" s="1"/>
  <c r="G56" i="6"/>
  <c r="I56" i="6" s="1"/>
  <c r="G57" i="6"/>
  <c r="I57" i="6" s="1"/>
  <c r="G58" i="6"/>
  <c r="I58" i="6" s="1"/>
  <c r="G59" i="6"/>
  <c r="I59" i="6" s="1"/>
  <c r="G60" i="6"/>
  <c r="I60" i="6" s="1"/>
  <c r="G61" i="6"/>
  <c r="I61" i="6" s="1"/>
  <c r="G62" i="6"/>
  <c r="I62" i="6" s="1"/>
  <c r="G63" i="6"/>
  <c r="I63" i="6" s="1"/>
  <c r="G64" i="6"/>
  <c r="I64" i="6" s="1"/>
  <c r="G65" i="6"/>
  <c r="I65" i="6" s="1"/>
  <c r="G66" i="6"/>
  <c r="I66" i="6" s="1"/>
  <c r="G67" i="6"/>
  <c r="I67" i="6" s="1"/>
  <c r="G68" i="6"/>
  <c r="I68" i="6" s="1"/>
  <c r="G69" i="6"/>
  <c r="I69" i="6" s="1"/>
  <c r="G70" i="6"/>
  <c r="I70" i="6" s="1"/>
  <c r="G71" i="6"/>
  <c r="I71" i="6" s="1"/>
  <c r="G72" i="6"/>
  <c r="I72" i="6" s="1"/>
  <c r="G73" i="6"/>
  <c r="I73" i="6" s="1"/>
  <c r="G74" i="6"/>
  <c r="I74" i="6" s="1"/>
  <c r="G75" i="6"/>
  <c r="I75" i="6" s="1"/>
  <c r="G76" i="6"/>
  <c r="I76" i="6" s="1"/>
  <c r="G77" i="6"/>
  <c r="I77" i="6" s="1"/>
  <c r="G78" i="6"/>
  <c r="I78" i="6" s="1"/>
  <c r="G79" i="6"/>
  <c r="I79" i="6" s="1"/>
  <c r="G80" i="6"/>
  <c r="I80" i="6" s="1"/>
  <c r="G81" i="6"/>
  <c r="I81" i="6" s="1"/>
  <c r="G82" i="6"/>
  <c r="I82" i="6" s="1"/>
  <c r="G83" i="6"/>
  <c r="I83" i="6" s="1"/>
  <c r="G84" i="6"/>
  <c r="I84" i="6" s="1"/>
  <c r="G85" i="6"/>
  <c r="I85" i="6" s="1"/>
  <c r="G86" i="6"/>
  <c r="I86" i="6" s="1"/>
  <c r="G87" i="6"/>
  <c r="I87" i="6" s="1"/>
  <c r="G88" i="6"/>
  <c r="I88" i="6" s="1"/>
  <c r="G89" i="6"/>
  <c r="I89" i="6" s="1"/>
  <c r="G90" i="6"/>
  <c r="I90" i="6" s="1"/>
  <c r="G91" i="6"/>
  <c r="I91" i="6" s="1"/>
  <c r="G92" i="6"/>
  <c r="I92" i="6" s="1"/>
  <c r="G93" i="6"/>
  <c r="I93" i="6" s="1"/>
  <c r="G94" i="6"/>
  <c r="I94" i="6" s="1"/>
  <c r="G95" i="6"/>
  <c r="I95" i="6" s="1"/>
  <c r="G96" i="6"/>
  <c r="I96" i="6" s="1"/>
  <c r="G97" i="6"/>
  <c r="I97" i="6" s="1"/>
  <c r="G98" i="6"/>
  <c r="I98" i="6" s="1"/>
  <c r="G99" i="6"/>
  <c r="I99" i="6" s="1"/>
  <c r="G100" i="6"/>
  <c r="I100" i="6" s="1"/>
  <c r="G101" i="6"/>
  <c r="I101" i="6" s="1"/>
  <c r="G102" i="6"/>
  <c r="I102" i="6" s="1"/>
  <c r="G103" i="6"/>
  <c r="I103" i="6" s="1"/>
  <c r="G104" i="6"/>
  <c r="I104" i="6" s="1"/>
  <c r="G105" i="6"/>
  <c r="I105" i="6" s="1"/>
  <c r="G106" i="6"/>
  <c r="I106" i="6" s="1"/>
  <c r="G107" i="6"/>
  <c r="I107" i="6" s="1"/>
  <c r="G108" i="6"/>
  <c r="I108" i="6" s="1"/>
  <c r="G109" i="6"/>
  <c r="I109" i="6" s="1"/>
  <c r="G110" i="6"/>
  <c r="I110" i="6" s="1"/>
  <c r="G111" i="6"/>
  <c r="I111" i="6" s="1"/>
  <c r="G112" i="6"/>
  <c r="I112" i="6" s="1"/>
  <c r="G113" i="6"/>
  <c r="I113" i="6" s="1"/>
  <c r="G114" i="6"/>
  <c r="I114" i="6" s="1"/>
  <c r="G115" i="6"/>
  <c r="I115" i="6" s="1"/>
  <c r="G116" i="6"/>
  <c r="I116" i="6" s="1"/>
  <c r="G117" i="6"/>
  <c r="G118" i="6"/>
  <c r="I118" i="6" s="1"/>
  <c r="G119" i="6"/>
  <c r="I119" i="6" s="1"/>
  <c r="G120" i="6"/>
  <c r="I120" i="6" s="1"/>
  <c r="G121" i="6"/>
  <c r="I121" i="6" s="1"/>
  <c r="G2" i="6"/>
  <c r="I2" i="6" s="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2" i="6"/>
  <c r="F2" i="1"/>
  <c r="F3" i="1"/>
  <c r="F4" i="1"/>
  <c r="F5" i="1"/>
  <c r="F6" i="1"/>
  <c r="F7" i="1"/>
  <c r="F8" i="1"/>
  <c r="F9" i="1"/>
  <c r="F10" i="1"/>
  <c r="F11" i="1"/>
  <c r="I4" i="6" l="1"/>
  <c r="I18" i="6"/>
  <c r="I117" i="6"/>
  <c r="H13" i="14"/>
  <c r="B13" i="14"/>
  <c r="B4" i="14"/>
  <c r="I10" i="6"/>
  <c r="K26" i="6"/>
  <c r="K10" i="6"/>
  <c r="K2" i="6"/>
  <c r="I5" i="6"/>
  <c r="I3" i="6"/>
  <c r="H4" i="14" l="1"/>
  <c r="K18" i="6"/>
</calcChain>
</file>

<file path=xl/sharedStrings.xml><?xml version="1.0" encoding="utf-8"?>
<sst xmlns="http://schemas.openxmlformats.org/spreadsheetml/2006/main" count="555" uniqueCount="36">
  <si>
    <t>Date</t>
  </si>
  <si>
    <t>Product</t>
  </si>
  <si>
    <t>Region</t>
  </si>
  <si>
    <t>Salesperson</t>
  </si>
  <si>
    <t>Sales</t>
  </si>
  <si>
    <t>Laptop</t>
  </si>
  <si>
    <t>North</t>
  </si>
  <si>
    <t>Ravi</t>
  </si>
  <si>
    <t>Mouse</t>
  </si>
  <si>
    <t>South</t>
  </si>
  <si>
    <t>Priya</t>
  </si>
  <si>
    <t>Keyboard</t>
  </si>
  <si>
    <t>East</t>
  </si>
  <si>
    <t>Arun</t>
  </si>
  <si>
    <t>West</t>
  </si>
  <si>
    <t>Meena</t>
  </si>
  <si>
    <t>Monitor</t>
  </si>
  <si>
    <t>Kiran</t>
  </si>
  <si>
    <t>Row Labels</t>
  </si>
  <si>
    <t>Grand Total</t>
  </si>
  <si>
    <t>Sum of Sales</t>
  </si>
  <si>
    <t>Performance</t>
  </si>
  <si>
    <t>Order Date</t>
  </si>
  <si>
    <t>Category</t>
  </si>
  <si>
    <t>Units Sold</t>
  </si>
  <si>
    <t>Cost</t>
  </si>
  <si>
    <t>Profit</t>
  </si>
  <si>
    <t>Electronics</t>
  </si>
  <si>
    <t>Accessories</t>
  </si>
  <si>
    <t xml:space="preserve"> Total  Sales</t>
  </si>
  <si>
    <t>Sum of Profit</t>
  </si>
  <si>
    <t>Jan</t>
  </si>
  <si>
    <t>Feb</t>
  </si>
  <si>
    <t>Mar</t>
  </si>
  <si>
    <t>Apr</t>
  </si>
  <si>
    <t>Retail Sales &amp; profit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</si>
</sst>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2" x14ac:knownFonts="1">
    <font>
      <sz val="11"/>
      <color theme="1"/>
      <name val="Calibri"/>
      <family val="2"/>
      <scheme val="minor"/>
    </font>
    <font>
      <b/>
      <sz val="11"/>
      <color theme="1"/>
      <name val="Calibri"/>
      <family val="2"/>
      <scheme val="minor"/>
    </font>
    <font>
      <sz val="8"/>
      <name val="Calibri"/>
      <family val="2"/>
      <scheme val="minor"/>
    </font>
    <font>
      <b/>
      <sz val="14"/>
      <color rgb="FF0070C0"/>
      <name val="Calibri"/>
      <family val="2"/>
      <scheme val="minor"/>
    </font>
    <font>
      <b/>
      <sz val="14"/>
      <color theme="5"/>
      <name val="Calibri"/>
      <family val="2"/>
      <scheme val="minor"/>
    </font>
    <font>
      <b/>
      <sz val="14"/>
      <color rgb="FF00B050"/>
      <name val="Calibri"/>
      <family val="2"/>
      <scheme val="minor"/>
    </font>
    <font>
      <b/>
      <sz val="14"/>
      <color rgb="FFFF0000"/>
      <name val="Calibri"/>
      <family val="2"/>
      <scheme val="minor"/>
    </font>
    <font>
      <b/>
      <sz val="24"/>
      <color theme="1"/>
      <name val="Calibri"/>
      <family val="2"/>
      <scheme val="minor"/>
    </font>
    <font>
      <b/>
      <sz val="16"/>
      <color rgb="FF0070C0"/>
      <name val="Calibri"/>
      <family val="2"/>
      <scheme val="minor"/>
    </font>
    <font>
      <b/>
      <sz val="16"/>
      <color rgb="FFFF0000"/>
      <name val="Calibri"/>
      <family val="2"/>
      <scheme val="minor"/>
    </font>
    <font>
      <b/>
      <sz val="16"/>
      <color rgb="FF92D050"/>
      <name val="Calibri"/>
      <family val="2"/>
      <scheme val="minor"/>
    </font>
    <font>
      <b/>
      <sz val="16"/>
      <color theme="5"/>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4" fontId="0" fillId="0" borderId="0" xfId="0" applyNumberFormat="1" applyAlignment="1">
      <alignment horizontal="center" vertical="center" wrapText="1"/>
    </xf>
    <xf numFmtId="164" fontId="0" fillId="0" borderId="0" xfId="0" applyNumberFormat="1"/>
    <xf numFmtId="0" fontId="10" fillId="0" borderId="0" xfId="0" applyFont="1" applyAlignment="1">
      <alignment horizontal="center" vertical="center" wrapText="1"/>
    </xf>
    <xf numFmtId="0" fontId="11"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30">
    <dxf>
      <font>
        <color rgb="FF9C5700"/>
      </font>
      <fill>
        <patternFill>
          <bgColor rgb="FFFFEB9C"/>
        </patternFill>
      </fill>
    </dxf>
    <dxf>
      <font>
        <color rgb="FF006100"/>
      </font>
      <fill>
        <patternFill>
          <bgColor rgb="FFC6EFCE"/>
        </patternFill>
      </fill>
    </dxf>
    <dxf>
      <font>
        <color rgb="FF9C0006"/>
      </font>
      <fill>
        <patternFill>
          <bgColor rgb="FFFFC7CE"/>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4" formatCode="&quot;₹&quot;\ #,##0.00"/>
    </dxf>
    <dxf>
      <numFmt numFmtId="164" formatCode="&quot;₹&quot;\ #,##0.0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Profit Analysis Dashboard.xlsx]pivot1!PivotTable3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Total</c:v>
                </c:pt>
              </c:strCache>
            </c:strRef>
          </c:tx>
          <c:spPr>
            <a:solidFill>
              <a:schemeClr val="accent1"/>
            </a:solidFill>
            <a:ln>
              <a:noFill/>
            </a:ln>
            <a:effectLst/>
          </c:spPr>
          <c:invertIfNegative val="0"/>
          <c:cat>
            <c:strRef>
              <c:f>pivot1!$A$4:$A$8</c:f>
              <c:strCache>
                <c:ptCount val="4"/>
                <c:pt idx="0">
                  <c:v>East</c:v>
                </c:pt>
                <c:pt idx="1">
                  <c:v>North</c:v>
                </c:pt>
                <c:pt idx="2">
                  <c:v>South</c:v>
                </c:pt>
                <c:pt idx="3">
                  <c:v>West</c:v>
                </c:pt>
              </c:strCache>
            </c:strRef>
          </c:cat>
          <c:val>
            <c:numRef>
              <c:f>pivot1!$B$4:$B$8</c:f>
              <c:numCache>
                <c:formatCode>"₹"\ #,##0.00</c:formatCode>
                <c:ptCount val="4"/>
                <c:pt idx="0">
                  <c:v>977836</c:v>
                </c:pt>
                <c:pt idx="1">
                  <c:v>907014</c:v>
                </c:pt>
                <c:pt idx="2">
                  <c:v>1014748</c:v>
                </c:pt>
                <c:pt idx="3">
                  <c:v>811648</c:v>
                </c:pt>
              </c:numCache>
            </c:numRef>
          </c:val>
          <c:extLst>
            <c:ext xmlns:c16="http://schemas.microsoft.com/office/drawing/2014/chart" uri="{C3380CC4-5D6E-409C-BE32-E72D297353CC}">
              <c16:uniqueId val="{00000000-9923-435A-B6BF-E8A5E800CC18}"/>
            </c:ext>
          </c:extLst>
        </c:ser>
        <c:dLbls>
          <c:showLegendKey val="0"/>
          <c:showVal val="0"/>
          <c:showCatName val="0"/>
          <c:showSerName val="0"/>
          <c:showPercent val="0"/>
          <c:showBubbleSize val="0"/>
        </c:dLbls>
        <c:gapWidth val="219"/>
        <c:overlap val="-27"/>
        <c:axId val="1435178015"/>
        <c:axId val="1347923439"/>
      </c:barChart>
      <c:catAx>
        <c:axId val="14351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923439"/>
        <c:crosses val="autoZero"/>
        <c:auto val="1"/>
        <c:lblAlgn val="ctr"/>
        <c:lblOffset val="100"/>
        <c:noMultiLvlLbl val="0"/>
      </c:catAx>
      <c:valAx>
        <c:axId val="1347923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1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Profit Analysis Dashboard.xlsx]pivot2!PivotTable5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pivot2!$B$3</c:f>
              <c:strCache>
                <c:ptCount val="1"/>
                <c:pt idx="0">
                  <c:v>Total</c:v>
                </c:pt>
              </c:strCache>
            </c:strRef>
          </c:tx>
          <c:spPr>
            <a:solidFill>
              <a:schemeClr val="accent1"/>
            </a:solidFill>
            <a:ln>
              <a:noFill/>
            </a:ln>
            <a:effectLst/>
            <a:sp3d/>
          </c:spPr>
          <c:invertIfNegative val="0"/>
          <c:cat>
            <c:strRef>
              <c:f>pivot2!$A$4:$A$8</c:f>
              <c:strCache>
                <c:ptCount val="4"/>
                <c:pt idx="0">
                  <c:v>Keyboard</c:v>
                </c:pt>
                <c:pt idx="1">
                  <c:v>Laptop</c:v>
                </c:pt>
                <c:pt idx="2">
                  <c:v>Monitor</c:v>
                </c:pt>
                <c:pt idx="3">
                  <c:v>Mouse</c:v>
                </c:pt>
              </c:strCache>
            </c:strRef>
          </c:cat>
          <c:val>
            <c:numRef>
              <c:f>pivot2!$B$4:$B$8</c:f>
              <c:numCache>
                <c:formatCode>General</c:formatCode>
                <c:ptCount val="4"/>
                <c:pt idx="0">
                  <c:v>102128</c:v>
                </c:pt>
                <c:pt idx="1">
                  <c:v>336036</c:v>
                </c:pt>
                <c:pt idx="2">
                  <c:v>291177</c:v>
                </c:pt>
                <c:pt idx="3">
                  <c:v>237724</c:v>
                </c:pt>
              </c:numCache>
            </c:numRef>
          </c:val>
          <c:extLst>
            <c:ext xmlns:c16="http://schemas.microsoft.com/office/drawing/2014/chart" uri="{C3380CC4-5D6E-409C-BE32-E72D297353CC}">
              <c16:uniqueId val="{00000000-E520-4051-A533-F891EA7E8308}"/>
            </c:ext>
          </c:extLst>
        </c:ser>
        <c:dLbls>
          <c:showLegendKey val="0"/>
          <c:showVal val="0"/>
          <c:showCatName val="0"/>
          <c:showSerName val="0"/>
          <c:showPercent val="0"/>
          <c:showBubbleSize val="0"/>
        </c:dLbls>
        <c:gapWidth val="219"/>
        <c:shape val="box"/>
        <c:axId val="1303660911"/>
        <c:axId val="1303647951"/>
        <c:axId val="0"/>
      </c:bar3DChart>
      <c:catAx>
        <c:axId val="130366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647951"/>
        <c:crosses val="autoZero"/>
        <c:auto val="1"/>
        <c:lblAlgn val="ctr"/>
        <c:lblOffset val="100"/>
        <c:noMultiLvlLbl val="0"/>
      </c:catAx>
      <c:valAx>
        <c:axId val="1303647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66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Profit Analysis Dashboard.xlsx]pivot3!PivotTable8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pivot3!$B$3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569-4D52-A328-34F801F0F11D}"/>
              </c:ext>
            </c:extLst>
          </c:dPt>
          <c:dPt>
            <c:idx val="1"/>
            <c:bubble3D val="0"/>
            <c:spPr>
              <a:solidFill>
                <a:schemeClr val="accent2"/>
              </a:solidFill>
              <a:ln>
                <a:noFill/>
              </a:ln>
              <a:effectLst/>
            </c:spPr>
            <c:extLst>
              <c:ext xmlns:c16="http://schemas.microsoft.com/office/drawing/2014/chart" uri="{C3380CC4-5D6E-409C-BE32-E72D297353CC}">
                <c16:uniqueId val="{00000003-A569-4D52-A328-34F801F0F11D}"/>
              </c:ext>
            </c:extLst>
          </c:dPt>
          <c:dPt>
            <c:idx val="2"/>
            <c:bubble3D val="0"/>
            <c:spPr>
              <a:solidFill>
                <a:schemeClr val="accent3"/>
              </a:solidFill>
              <a:ln>
                <a:noFill/>
              </a:ln>
              <a:effectLst/>
            </c:spPr>
            <c:extLst>
              <c:ext xmlns:c16="http://schemas.microsoft.com/office/drawing/2014/chart" uri="{C3380CC4-5D6E-409C-BE32-E72D297353CC}">
                <c16:uniqueId val="{00000005-A569-4D52-A328-34F801F0F11D}"/>
              </c:ext>
            </c:extLst>
          </c:dPt>
          <c:dPt>
            <c:idx val="3"/>
            <c:bubble3D val="0"/>
            <c:spPr>
              <a:solidFill>
                <a:schemeClr val="accent4"/>
              </a:solidFill>
              <a:ln>
                <a:noFill/>
              </a:ln>
              <a:effectLst/>
            </c:spPr>
            <c:extLst>
              <c:ext xmlns:c16="http://schemas.microsoft.com/office/drawing/2014/chart" uri="{C3380CC4-5D6E-409C-BE32-E72D297353CC}">
                <c16:uniqueId val="{00000007-A569-4D52-A328-34F801F0F11D}"/>
              </c:ext>
            </c:extLst>
          </c:dPt>
          <c:dPt>
            <c:idx val="4"/>
            <c:bubble3D val="0"/>
            <c:spPr>
              <a:solidFill>
                <a:schemeClr val="accent5"/>
              </a:solidFill>
              <a:ln>
                <a:noFill/>
              </a:ln>
              <a:effectLst/>
            </c:spPr>
            <c:extLst>
              <c:ext xmlns:c16="http://schemas.microsoft.com/office/drawing/2014/chart" uri="{C3380CC4-5D6E-409C-BE32-E72D297353CC}">
                <c16:uniqueId val="{00000009-A569-4D52-A328-34F801F0F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pivot3!$A$4:$A$9</c:f>
              <c:strCache>
                <c:ptCount val="5"/>
                <c:pt idx="0">
                  <c:v>Arun</c:v>
                </c:pt>
                <c:pt idx="1">
                  <c:v>Kiran</c:v>
                </c:pt>
                <c:pt idx="2">
                  <c:v>Meena</c:v>
                </c:pt>
                <c:pt idx="3">
                  <c:v>Priya</c:v>
                </c:pt>
                <c:pt idx="4">
                  <c:v>Ravi</c:v>
                </c:pt>
              </c:strCache>
            </c:strRef>
          </c:cat>
          <c:val>
            <c:numRef>
              <c:f>pivot3!$B$4:$B$9</c:f>
              <c:numCache>
                <c:formatCode>General</c:formatCode>
                <c:ptCount val="5"/>
                <c:pt idx="0">
                  <c:v>676707</c:v>
                </c:pt>
                <c:pt idx="1">
                  <c:v>752264</c:v>
                </c:pt>
                <c:pt idx="2">
                  <c:v>791714</c:v>
                </c:pt>
                <c:pt idx="3">
                  <c:v>711218</c:v>
                </c:pt>
                <c:pt idx="4">
                  <c:v>779343</c:v>
                </c:pt>
              </c:numCache>
            </c:numRef>
          </c:val>
          <c:extLst>
            <c:ext xmlns:c16="http://schemas.microsoft.com/office/drawing/2014/chart" uri="{C3380CC4-5D6E-409C-BE32-E72D297353CC}">
              <c16:uniqueId val="{00000000-CC23-4407-B00F-23A0B8C0A8D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Profit Analysis Dashboard.xlsx]pivot4!PivotTable9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pivot4!$B$3</c:f>
              <c:strCache>
                <c:ptCount val="1"/>
                <c:pt idx="0">
                  <c:v>Total</c:v>
                </c:pt>
              </c:strCache>
            </c:strRef>
          </c:tx>
          <c:spPr>
            <a:ln w="28575" cap="rnd">
              <a:solidFill>
                <a:schemeClr val="accent1"/>
              </a:solidFill>
              <a:round/>
            </a:ln>
            <a:effectLst/>
          </c:spPr>
          <c:marker>
            <c:symbol val="none"/>
          </c:marker>
          <c:cat>
            <c:strRef>
              <c:f>pivot4!$A$4:$A$8</c:f>
              <c:strCache>
                <c:ptCount val="4"/>
                <c:pt idx="0">
                  <c:v>Jan</c:v>
                </c:pt>
                <c:pt idx="1">
                  <c:v>Feb</c:v>
                </c:pt>
                <c:pt idx="2">
                  <c:v>Mar</c:v>
                </c:pt>
                <c:pt idx="3">
                  <c:v>Apr</c:v>
                </c:pt>
              </c:strCache>
            </c:strRef>
          </c:cat>
          <c:val>
            <c:numRef>
              <c:f>pivot4!$B$4:$B$8</c:f>
              <c:numCache>
                <c:formatCode>General</c:formatCode>
                <c:ptCount val="4"/>
                <c:pt idx="0">
                  <c:v>1002033</c:v>
                </c:pt>
                <c:pt idx="1">
                  <c:v>897735</c:v>
                </c:pt>
                <c:pt idx="2">
                  <c:v>945145</c:v>
                </c:pt>
                <c:pt idx="3">
                  <c:v>866333</c:v>
                </c:pt>
              </c:numCache>
            </c:numRef>
          </c:val>
          <c:smooth val="0"/>
          <c:extLst>
            <c:ext xmlns:c16="http://schemas.microsoft.com/office/drawing/2014/chart" uri="{C3380CC4-5D6E-409C-BE32-E72D297353CC}">
              <c16:uniqueId val="{00000000-D25B-48F0-92E6-BFC1E55E1F28}"/>
            </c:ext>
          </c:extLst>
        </c:ser>
        <c:dLbls>
          <c:showLegendKey val="0"/>
          <c:showVal val="0"/>
          <c:showCatName val="0"/>
          <c:showSerName val="0"/>
          <c:showPercent val="0"/>
          <c:showBubbleSize val="0"/>
        </c:dLbls>
        <c:smooth val="0"/>
        <c:axId val="1446743391"/>
        <c:axId val="1446741951"/>
      </c:lineChart>
      <c:catAx>
        <c:axId val="144674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41951"/>
        <c:crosses val="autoZero"/>
        <c:auto val="1"/>
        <c:lblAlgn val="ctr"/>
        <c:lblOffset val="100"/>
        <c:noMultiLvlLbl val="0"/>
      </c:catAx>
      <c:valAx>
        <c:axId val="144674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4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Profit Analysis Dashboard.xlsx]pivot1!PivotTable3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Total</c:v>
                </c:pt>
              </c:strCache>
            </c:strRef>
          </c:tx>
          <c:spPr>
            <a:solidFill>
              <a:schemeClr val="accent1"/>
            </a:solidFill>
            <a:ln>
              <a:noFill/>
            </a:ln>
            <a:effectLst/>
          </c:spPr>
          <c:invertIfNegative val="0"/>
          <c:cat>
            <c:strRef>
              <c:f>pivot1!$A$4:$A$8</c:f>
              <c:strCache>
                <c:ptCount val="4"/>
                <c:pt idx="0">
                  <c:v>East</c:v>
                </c:pt>
                <c:pt idx="1">
                  <c:v>North</c:v>
                </c:pt>
                <c:pt idx="2">
                  <c:v>South</c:v>
                </c:pt>
                <c:pt idx="3">
                  <c:v>West</c:v>
                </c:pt>
              </c:strCache>
            </c:strRef>
          </c:cat>
          <c:val>
            <c:numRef>
              <c:f>pivot1!$B$4:$B$8</c:f>
              <c:numCache>
                <c:formatCode>"₹"\ #,##0.00</c:formatCode>
                <c:ptCount val="4"/>
                <c:pt idx="0">
                  <c:v>977836</c:v>
                </c:pt>
                <c:pt idx="1">
                  <c:v>907014</c:v>
                </c:pt>
                <c:pt idx="2">
                  <c:v>1014748</c:v>
                </c:pt>
                <c:pt idx="3">
                  <c:v>811648</c:v>
                </c:pt>
              </c:numCache>
            </c:numRef>
          </c:val>
          <c:extLst>
            <c:ext xmlns:c16="http://schemas.microsoft.com/office/drawing/2014/chart" uri="{C3380CC4-5D6E-409C-BE32-E72D297353CC}">
              <c16:uniqueId val="{00000000-9B08-465F-AB5D-16E34A279490}"/>
            </c:ext>
          </c:extLst>
        </c:ser>
        <c:dLbls>
          <c:showLegendKey val="0"/>
          <c:showVal val="0"/>
          <c:showCatName val="0"/>
          <c:showSerName val="0"/>
          <c:showPercent val="0"/>
          <c:showBubbleSize val="0"/>
        </c:dLbls>
        <c:gapWidth val="219"/>
        <c:overlap val="-27"/>
        <c:axId val="1435178015"/>
        <c:axId val="1347923439"/>
      </c:barChart>
      <c:catAx>
        <c:axId val="14351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923439"/>
        <c:crosses val="autoZero"/>
        <c:auto val="1"/>
        <c:lblAlgn val="ctr"/>
        <c:lblOffset val="100"/>
        <c:noMultiLvlLbl val="0"/>
      </c:catAx>
      <c:valAx>
        <c:axId val="1347923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1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Profit Analysis Dashboard.xlsx]pivot2!PivotTable5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pivot2!$B$3</c:f>
              <c:strCache>
                <c:ptCount val="1"/>
                <c:pt idx="0">
                  <c:v>Total</c:v>
                </c:pt>
              </c:strCache>
            </c:strRef>
          </c:tx>
          <c:spPr>
            <a:solidFill>
              <a:schemeClr val="accent1"/>
            </a:solidFill>
            <a:ln>
              <a:noFill/>
            </a:ln>
            <a:effectLst/>
            <a:sp3d/>
          </c:spPr>
          <c:invertIfNegative val="0"/>
          <c:cat>
            <c:strRef>
              <c:f>pivot2!$A$4:$A$8</c:f>
              <c:strCache>
                <c:ptCount val="4"/>
                <c:pt idx="0">
                  <c:v>Keyboard</c:v>
                </c:pt>
                <c:pt idx="1">
                  <c:v>Laptop</c:v>
                </c:pt>
                <c:pt idx="2">
                  <c:v>Monitor</c:v>
                </c:pt>
                <c:pt idx="3">
                  <c:v>Mouse</c:v>
                </c:pt>
              </c:strCache>
            </c:strRef>
          </c:cat>
          <c:val>
            <c:numRef>
              <c:f>pivot2!$B$4:$B$8</c:f>
              <c:numCache>
                <c:formatCode>General</c:formatCode>
                <c:ptCount val="4"/>
                <c:pt idx="0">
                  <c:v>102128</c:v>
                </c:pt>
                <c:pt idx="1">
                  <c:v>336036</c:v>
                </c:pt>
                <c:pt idx="2">
                  <c:v>291177</c:v>
                </c:pt>
                <c:pt idx="3">
                  <c:v>237724</c:v>
                </c:pt>
              </c:numCache>
            </c:numRef>
          </c:val>
          <c:extLst>
            <c:ext xmlns:c16="http://schemas.microsoft.com/office/drawing/2014/chart" uri="{C3380CC4-5D6E-409C-BE32-E72D297353CC}">
              <c16:uniqueId val="{00000000-9245-4F61-8B7A-C133951B8ADE}"/>
            </c:ext>
          </c:extLst>
        </c:ser>
        <c:dLbls>
          <c:showLegendKey val="0"/>
          <c:showVal val="0"/>
          <c:showCatName val="0"/>
          <c:showSerName val="0"/>
          <c:showPercent val="0"/>
          <c:showBubbleSize val="0"/>
        </c:dLbls>
        <c:gapWidth val="219"/>
        <c:shape val="box"/>
        <c:axId val="1303660911"/>
        <c:axId val="1303647951"/>
        <c:axId val="0"/>
      </c:bar3DChart>
      <c:catAx>
        <c:axId val="130366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647951"/>
        <c:crosses val="autoZero"/>
        <c:auto val="1"/>
        <c:lblAlgn val="ctr"/>
        <c:lblOffset val="100"/>
        <c:noMultiLvlLbl val="0"/>
      </c:catAx>
      <c:valAx>
        <c:axId val="1303647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66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Profit Analysis Dashboard.xlsx]pivot3!PivotTable8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pivot3!$B$3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9BE-4C0A-AD3D-EE37C58502B2}"/>
              </c:ext>
            </c:extLst>
          </c:dPt>
          <c:dPt>
            <c:idx val="1"/>
            <c:bubble3D val="0"/>
            <c:spPr>
              <a:solidFill>
                <a:schemeClr val="accent2"/>
              </a:solidFill>
              <a:ln>
                <a:noFill/>
              </a:ln>
              <a:effectLst/>
            </c:spPr>
            <c:extLst>
              <c:ext xmlns:c16="http://schemas.microsoft.com/office/drawing/2014/chart" uri="{C3380CC4-5D6E-409C-BE32-E72D297353CC}">
                <c16:uniqueId val="{00000003-F9BE-4C0A-AD3D-EE37C58502B2}"/>
              </c:ext>
            </c:extLst>
          </c:dPt>
          <c:dPt>
            <c:idx val="2"/>
            <c:bubble3D val="0"/>
            <c:spPr>
              <a:solidFill>
                <a:schemeClr val="accent3"/>
              </a:solidFill>
              <a:ln>
                <a:noFill/>
              </a:ln>
              <a:effectLst/>
            </c:spPr>
            <c:extLst>
              <c:ext xmlns:c16="http://schemas.microsoft.com/office/drawing/2014/chart" uri="{C3380CC4-5D6E-409C-BE32-E72D297353CC}">
                <c16:uniqueId val="{00000005-F9BE-4C0A-AD3D-EE37C58502B2}"/>
              </c:ext>
            </c:extLst>
          </c:dPt>
          <c:dPt>
            <c:idx val="3"/>
            <c:bubble3D val="0"/>
            <c:spPr>
              <a:solidFill>
                <a:schemeClr val="accent4"/>
              </a:solidFill>
              <a:ln>
                <a:noFill/>
              </a:ln>
              <a:effectLst/>
            </c:spPr>
            <c:extLst>
              <c:ext xmlns:c16="http://schemas.microsoft.com/office/drawing/2014/chart" uri="{C3380CC4-5D6E-409C-BE32-E72D297353CC}">
                <c16:uniqueId val="{00000007-F9BE-4C0A-AD3D-EE37C58502B2}"/>
              </c:ext>
            </c:extLst>
          </c:dPt>
          <c:dPt>
            <c:idx val="4"/>
            <c:bubble3D val="0"/>
            <c:spPr>
              <a:solidFill>
                <a:schemeClr val="accent5"/>
              </a:solidFill>
              <a:ln>
                <a:noFill/>
              </a:ln>
              <a:effectLst/>
            </c:spPr>
            <c:extLst>
              <c:ext xmlns:c16="http://schemas.microsoft.com/office/drawing/2014/chart" uri="{C3380CC4-5D6E-409C-BE32-E72D297353CC}">
                <c16:uniqueId val="{00000009-F9BE-4C0A-AD3D-EE37C58502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pivot3!$A$4:$A$9</c:f>
              <c:strCache>
                <c:ptCount val="5"/>
                <c:pt idx="0">
                  <c:v>Arun</c:v>
                </c:pt>
                <c:pt idx="1">
                  <c:v>Kiran</c:v>
                </c:pt>
                <c:pt idx="2">
                  <c:v>Meena</c:v>
                </c:pt>
                <c:pt idx="3">
                  <c:v>Priya</c:v>
                </c:pt>
                <c:pt idx="4">
                  <c:v>Ravi</c:v>
                </c:pt>
              </c:strCache>
            </c:strRef>
          </c:cat>
          <c:val>
            <c:numRef>
              <c:f>pivot3!$B$4:$B$9</c:f>
              <c:numCache>
                <c:formatCode>General</c:formatCode>
                <c:ptCount val="5"/>
                <c:pt idx="0">
                  <c:v>676707</c:v>
                </c:pt>
                <c:pt idx="1">
                  <c:v>752264</c:v>
                </c:pt>
                <c:pt idx="2">
                  <c:v>791714</c:v>
                </c:pt>
                <c:pt idx="3">
                  <c:v>711218</c:v>
                </c:pt>
                <c:pt idx="4">
                  <c:v>779343</c:v>
                </c:pt>
              </c:numCache>
            </c:numRef>
          </c:val>
          <c:extLst>
            <c:ext xmlns:c16="http://schemas.microsoft.com/office/drawing/2014/chart" uri="{C3380CC4-5D6E-409C-BE32-E72D297353CC}">
              <c16:uniqueId val="{0000000A-F9BE-4C0A-AD3D-EE37C58502B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Profit Analysis Dashboard.xlsx]pivot4!PivotTable9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pivot4!$B$3</c:f>
              <c:strCache>
                <c:ptCount val="1"/>
                <c:pt idx="0">
                  <c:v>Total</c:v>
                </c:pt>
              </c:strCache>
            </c:strRef>
          </c:tx>
          <c:spPr>
            <a:ln w="28575" cap="rnd">
              <a:solidFill>
                <a:schemeClr val="accent1"/>
              </a:solidFill>
              <a:round/>
            </a:ln>
            <a:effectLst/>
          </c:spPr>
          <c:marker>
            <c:symbol val="none"/>
          </c:marker>
          <c:cat>
            <c:strRef>
              <c:f>pivot4!$A$4:$A$8</c:f>
              <c:strCache>
                <c:ptCount val="4"/>
                <c:pt idx="0">
                  <c:v>Jan</c:v>
                </c:pt>
                <c:pt idx="1">
                  <c:v>Feb</c:v>
                </c:pt>
                <c:pt idx="2">
                  <c:v>Mar</c:v>
                </c:pt>
                <c:pt idx="3">
                  <c:v>Apr</c:v>
                </c:pt>
              </c:strCache>
            </c:strRef>
          </c:cat>
          <c:val>
            <c:numRef>
              <c:f>pivot4!$B$4:$B$8</c:f>
              <c:numCache>
                <c:formatCode>General</c:formatCode>
                <c:ptCount val="4"/>
                <c:pt idx="0">
                  <c:v>1002033</c:v>
                </c:pt>
                <c:pt idx="1">
                  <c:v>897735</c:v>
                </c:pt>
                <c:pt idx="2">
                  <c:v>945145</c:v>
                </c:pt>
                <c:pt idx="3">
                  <c:v>866333</c:v>
                </c:pt>
              </c:numCache>
            </c:numRef>
          </c:val>
          <c:smooth val="0"/>
          <c:extLst>
            <c:ext xmlns:c16="http://schemas.microsoft.com/office/drawing/2014/chart" uri="{C3380CC4-5D6E-409C-BE32-E72D297353CC}">
              <c16:uniqueId val="{00000000-576F-4CCF-8200-22DF618AABC4}"/>
            </c:ext>
          </c:extLst>
        </c:ser>
        <c:dLbls>
          <c:showLegendKey val="0"/>
          <c:showVal val="0"/>
          <c:showCatName val="0"/>
          <c:showSerName val="0"/>
          <c:showPercent val="0"/>
          <c:showBubbleSize val="0"/>
        </c:dLbls>
        <c:smooth val="0"/>
        <c:axId val="1446743391"/>
        <c:axId val="1446741951"/>
      </c:lineChart>
      <c:catAx>
        <c:axId val="144674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41951"/>
        <c:crosses val="autoZero"/>
        <c:auto val="1"/>
        <c:lblAlgn val="ctr"/>
        <c:lblOffset val="100"/>
        <c:noMultiLvlLbl val="0"/>
      </c:catAx>
      <c:valAx>
        <c:axId val="144674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4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16</xdr:col>
      <xdr:colOff>205740</xdr:colOff>
      <xdr:row>25</xdr:row>
      <xdr:rowOff>76200</xdr:rowOff>
    </xdr:to>
    <xdr:graphicFrame macro="">
      <xdr:nvGraphicFramePr>
        <xdr:cNvPr id="2" name="Chart 1">
          <a:extLst>
            <a:ext uri="{FF2B5EF4-FFF2-40B4-BE49-F238E27FC236}">
              <a16:creationId xmlns:a16="http://schemas.microsoft.com/office/drawing/2014/main" id="{A5AB6D29-6514-3C34-9D9C-CF00C8CA7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16</xdr:col>
      <xdr:colOff>205740</xdr:colOff>
      <xdr:row>23</xdr:row>
      <xdr:rowOff>76200</xdr:rowOff>
    </xdr:to>
    <xdr:graphicFrame macro="">
      <xdr:nvGraphicFramePr>
        <xdr:cNvPr id="2" name="Chart 1">
          <a:extLst>
            <a:ext uri="{FF2B5EF4-FFF2-40B4-BE49-F238E27FC236}">
              <a16:creationId xmlns:a16="http://schemas.microsoft.com/office/drawing/2014/main" id="{EFC34B68-0884-BF7A-8D57-28AEB9FB7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16</xdr:col>
      <xdr:colOff>441960</xdr:colOff>
      <xdr:row>25</xdr:row>
      <xdr:rowOff>60960</xdr:rowOff>
    </xdr:to>
    <xdr:graphicFrame macro="">
      <xdr:nvGraphicFramePr>
        <xdr:cNvPr id="2" name="Chart 1">
          <a:extLst>
            <a:ext uri="{FF2B5EF4-FFF2-40B4-BE49-F238E27FC236}">
              <a16:creationId xmlns:a16="http://schemas.microsoft.com/office/drawing/2014/main" id="{D62F1B3B-811E-EB01-69F3-21768339B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16</xdr:col>
      <xdr:colOff>297180</xdr:colOff>
      <xdr:row>23</xdr:row>
      <xdr:rowOff>144780</xdr:rowOff>
    </xdr:to>
    <xdr:graphicFrame macro="">
      <xdr:nvGraphicFramePr>
        <xdr:cNvPr id="2" name="Chart 1">
          <a:extLst>
            <a:ext uri="{FF2B5EF4-FFF2-40B4-BE49-F238E27FC236}">
              <a16:creationId xmlns:a16="http://schemas.microsoft.com/office/drawing/2014/main" id="{32F406AA-55ED-4819-7029-3808C6259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25</xdr:row>
      <xdr:rowOff>0</xdr:rowOff>
    </xdr:from>
    <xdr:to>
      <xdr:col>10</xdr:col>
      <xdr:colOff>281940</xdr:colOff>
      <xdr:row>44</xdr:row>
      <xdr:rowOff>34290</xdr:rowOff>
    </xdr:to>
    <xdr:graphicFrame macro="">
      <xdr:nvGraphicFramePr>
        <xdr:cNvPr id="2" name="Chart 1">
          <a:extLst>
            <a:ext uri="{FF2B5EF4-FFF2-40B4-BE49-F238E27FC236}">
              <a16:creationId xmlns:a16="http://schemas.microsoft.com/office/drawing/2014/main" id="{C5F80007-3398-4A69-A44B-7CF45B872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365760</xdr:colOff>
      <xdr:row>25</xdr:row>
      <xdr:rowOff>43618</xdr:rowOff>
    </xdr:from>
    <xdr:to>
      <xdr:col>20</xdr:col>
      <xdr:colOff>281939</xdr:colOff>
      <xdr:row>43</xdr:row>
      <xdr:rowOff>47428</xdr:rowOff>
    </xdr:to>
    <xdr:graphicFrame macro="">
      <xdr:nvGraphicFramePr>
        <xdr:cNvPr id="3" name="Chart 2">
          <a:extLst>
            <a:ext uri="{FF2B5EF4-FFF2-40B4-BE49-F238E27FC236}">
              <a16:creationId xmlns:a16="http://schemas.microsoft.com/office/drawing/2014/main" id="{71A8FA33-335B-4E27-B513-CE836D61D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151892</xdr:colOff>
      <xdr:row>25</xdr:row>
      <xdr:rowOff>67534</xdr:rowOff>
    </xdr:from>
    <xdr:to>
      <xdr:col>39</xdr:col>
      <xdr:colOff>55105</xdr:colOff>
      <xdr:row>44</xdr:row>
      <xdr:rowOff>86584</xdr:rowOff>
    </xdr:to>
    <xdr:graphicFrame macro="">
      <xdr:nvGraphicFramePr>
        <xdr:cNvPr id="4" name="Chart 3">
          <a:extLst>
            <a:ext uri="{FF2B5EF4-FFF2-40B4-BE49-F238E27FC236}">
              <a16:creationId xmlns:a16="http://schemas.microsoft.com/office/drawing/2014/main" id="{BAFFEB45-4A9E-40A8-A83E-7DB0A0CC8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45178</xdr:colOff>
      <xdr:row>25</xdr:row>
      <xdr:rowOff>691</xdr:rowOff>
    </xdr:from>
    <xdr:to>
      <xdr:col>29</xdr:col>
      <xdr:colOff>499394</xdr:colOff>
      <xdr:row>44</xdr:row>
      <xdr:rowOff>691</xdr:rowOff>
    </xdr:to>
    <xdr:graphicFrame macro="">
      <xdr:nvGraphicFramePr>
        <xdr:cNvPr id="5" name="Chart 4">
          <a:extLst>
            <a:ext uri="{FF2B5EF4-FFF2-40B4-BE49-F238E27FC236}">
              <a16:creationId xmlns:a16="http://schemas.microsoft.com/office/drawing/2014/main" id="{E6DCC8C9-1A92-4969-B498-66B60D187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445237</xdr:colOff>
      <xdr:row>5</xdr:row>
      <xdr:rowOff>51726</xdr:rowOff>
    </xdr:from>
    <xdr:to>
      <xdr:col>17</xdr:col>
      <xdr:colOff>445238</xdr:colOff>
      <xdr:row>18</xdr:row>
      <xdr:rowOff>143764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9A70538-5705-C110-EA80-04BF5157F5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06065" y="971381"/>
              <a:ext cx="1813035" cy="2483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45958</xdr:colOff>
      <xdr:row>5</xdr:row>
      <xdr:rowOff>83457</xdr:rowOff>
    </xdr:from>
    <xdr:to>
      <xdr:col>21</xdr:col>
      <xdr:colOff>45958</xdr:colOff>
      <xdr:row>18</xdr:row>
      <xdr:rowOff>172992</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53B84C49-D647-5D04-4DE8-2C060F8EA2F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924165" y="1003112"/>
              <a:ext cx="1813034" cy="248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172356</xdr:colOff>
      <xdr:row>5</xdr:row>
      <xdr:rowOff>114676</xdr:rowOff>
    </xdr:from>
    <xdr:to>
      <xdr:col>24</xdr:col>
      <xdr:colOff>172356</xdr:colOff>
      <xdr:row>19</xdr:row>
      <xdr:rowOff>20280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C6C78382-3821-B488-C9F8-BD0FB4636A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863597" y="1034331"/>
              <a:ext cx="1813035" cy="248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346778</xdr:colOff>
      <xdr:row>5</xdr:row>
      <xdr:rowOff>63199</xdr:rowOff>
    </xdr:from>
    <xdr:to>
      <xdr:col>27</xdr:col>
      <xdr:colOff>346779</xdr:colOff>
      <xdr:row>18</xdr:row>
      <xdr:rowOff>153784</xdr:rowOff>
    </xdr:to>
    <mc:AlternateContent xmlns:mc="http://schemas.openxmlformats.org/markup-compatibility/2006" xmlns:a14="http://schemas.microsoft.com/office/drawing/2010/main">
      <mc:Choice Requires="a14">
        <xdr:graphicFrame macro="">
          <xdr:nvGraphicFramePr>
            <xdr:cNvPr id="9" name="Salesperson 1">
              <a:extLst>
                <a:ext uri="{FF2B5EF4-FFF2-40B4-BE49-F238E27FC236}">
                  <a16:creationId xmlns:a16="http://schemas.microsoft.com/office/drawing/2014/main" id="{2577BBC7-2390-5BE8-D62A-EBC66A26C42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4851054" y="982854"/>
              <a:ext cx="1813035" cy="2481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ESH" refreshedDate="46154.477082870369" createdVersion="8" refreshedVersion="8" minRefreshableVersion="3" recordCount="120" xr:uid="{92E1540D-2E8E-4BAE-9E41-392345387A3E}">
  <cacheSource type="worksheet">
    <worksheetSource ref="A1:I121" sheet="Dataset"/>
  </cacheSource>
  <cacheFields count="11">
    <cacheField name="Order Date" numFmtId="14">
      <sharedItems containsSemiMixedTypes="0" containsNonDate="0" containsDate="1" containsString="0" minDate="2026-01-01T00:00:00" maxDate="2026-05-01T00:00:00" count="12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sharedItems>
      <fieldGroup par="10"/>
    </cacheField>
    <cacheField name="Region" numFmtId="0">
      <sharedItems count="4">
        <s v="North"/>
        <s v="South"/>
        <s v="East"/>
        <s v="West"/>
      </sharedItems>
    </cacheField>
    <cacheField name="Product" numFmtId="0">
      <sharedItems count="4">
        <s v="Laptop"/>
        <s v="Mouse"/>
        <s v="Keyboard"/>
        <s v="Monitor"/>
      </sharedItems>
    </cacheField>
    <cacheField name="Category" numFmtId="0">
      <sharedItems count="2">
        <s v="Electronics"/>
        <s v="Accessories"/>
      </sharedItems>
    </cacheField>
    <cacheField name="Salesperson" numFmtId="0">
      <sharedItems count="5">
        <s v="Ravi"/>
        <s v="Priya"/>
        <s v="Arun"/>
        <s v="Meena"/>
        <s v="Kiran"/>
      </sharedItems>
    </cacheField>
    <cacheField name="Units Sold" numFmtId="0">
      <sharedItems containsSemiMixedTypes="0" containsString="0" containsNumber="1" containsInteger="1" minValue="1" maxValue="10"/>
    </cacheField>
    <cacheField name="Sales" numFmtId="0">
      <sharedItems containsSemiMixedTypes="0" containsString="0" containsNumber="1" containsInteger="1" minValue="10082" maxValue="49513"/>
    </cacheField>
    <cacheField name="Cost" numFmtId="0">
      <sharedItems containsSemiMixedTypes="0" containsString="0" containsNumber="1" containsInteger="1" minValue="5047" maxValue="39416"/>
    </cacheField>
    <cacheField name="Profit" numFmtId="0">
      <sharedItems containsSemiMixedTypes="0" containsString="0" containsNumber="1" containsInteger="1" minValue="-27805" maxValue="38929"/>
    </cacheField>
    <cacheField name="Days (Order Date)" numFmtId="0" databaseField="0">
      <fieldGroup base="0">
        <rangePr groupBy="days" startDate="2026-01-01T00:00:00" endDate="2026-05-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5-2026"/>
        </groupItems>
      </fieldGroup>
    </cacheField>
    <cacheField name="Months (Order Date)" numFmtId="0" databaseField="0">
      <fieldGroup base="0">
        <rangePr groupBy="months" startDate="2026-01-01T00:00:00" endDate="2026-05-01T00:00:00"/>
        <groupItems count="14">
          <s v="&lt;01-01-2026"/>
          <s v="Jan"/>
          <s v="Feb"/>
          <s v="Mar"/>
          <s v="Apr"/>
          <s v="May"/>
          <s v="Jun"/>
          <s v="Jul"/>
          <s v="Aug"/>
          <s v="Sep"/>
          <s v="Oct"/>
          <s v="Nov"/>
          <s v="Dec"/>
          <s v="&gt;01-05-2026"/>
        </groupItems>
      </fieldGroup>
    </cacheField>
  </cacheFields>
  <extLst>
    <ext xmlns:x14="http://schemas.microsoft.com/office/spreadsheetml/2009/9/main" uri="{725AE2AE-9491-48be-B2B4-4EB974FC3084}">
      <x14:pivotCacheDefinition pivotCacheId="979859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n v="3"/>
    <n v="22252"/>
    <n v="16299"/>
    <n v="5953"/>
  </r>
  <r>
    <x v="1"/>
    <x v="1"/>
    <x v="1"/>
    <x v="1"/>
    <x v="1"/>
    <n v="5"/>
    <n v="38563"/>
    <n v="14641"/>
    <n v="23922"/>
  </r>
  <r>
    <x v="2"/>
    <x v="2"/>
    <x v="2"/>
    <x v="1"/>
    <x v="2"/>
    <n v="2"/>
    <n v="43919"/>
    <n v="23530"/>
    <n v="20389"/>
  </r>
  <r>
    <x v="3"/>
    <x v="3"/>
    <x v="0"/>
    <x v="0"/>
    <x v="3"/>
    <n v="5"/>
    <n v="44064"/>
    <n v="35010"/>
    <n v="9054"/>
  </r>
  <r>
    <x v="4"/>
    <x v="0"/>
    <x v="3"/>
    <x v="0"/>
    <x v="4"/>
    <n v="9"/>
    <n v="12493"/>
    <n v="37427"/>
    <n v="-24934"/>
  </r>
  <r>
    <x v="5"/>
    <x v="1"/>
    <x v="1"/>
    <x v="1"/>
    <x v="0"/>
    <n v="1"/>
    <n v="47875"/>
    <n v="26966"/>
    <n v="20909"/>
  </r>
  <r>
    <x v="6"/>
    <x v="2"/>
    <x v="0"/>
    <x v="0"/>
    <x v="1"/>
    <n v="8"/>
    <n v="30932"/>
    <n v="27565"/>
    <n v="3367"/>
  </r>
  <r>
    <x v="7"/>
    <x v="3"/>
    <x v="2"/>
    <x v="1"/>
    <x v="2"/>
    <n v="1"/>
    <n v="27236"/>
    <n v="21780"/>
    <n v="5456"/>
  </r>
  <r>
    <x v="8"/>
    <x v="0"/>
    <x v="3"/>
    <x v="0"/>
    <x v="3"/>
    <n v="7"/>
    <n v="19112"/>
    <n v="33923"/>
    <n v="-14811"/>
  </r>
  <r>
    <x v="9"/>
    <x v="1"/>
    <x v="0"/>
    <x v="0"/>
    <x v="4"/>
    <n v="1"/>
    <n v="19678"/>
    <n v="12683"/>
    <n v="6995"/>
  </r>
  <r>
    <x v="10"/>
    <x v="2"/>
    <x v="1"/>
    <x v="1"/>
    <x v="0"/>
    <n v="6"/>
    <n v="49031"/>
    <n v="31699"/>
    <n v="17332"/>
  </r>
  <r>
    <x v="11"/>
    <x v="3"/>
    <x v="3"/>
    <x v="0"/>
    <x v="1"/>
    <n v="9"/>
    <n v="11037"/>
    <n v="37826"/>
    <n v="-26789"/>
  </r>
  <r>
    <x v="12"/>
    <x v="0"/>
    <x v="2"/>
    <x v="1"/>
    <x v="2"/>
    <n v="1"/>
    <n v="18746"/>
    <n v="15326"/>
    <n v="3420"/>
  </r>
  <r>
    <x v="13"/>
    <x v="1"/>
    <x v="0"/>
    <x v="0"/>
    <x v="3"/>
    <n v="1"/>
    <n v="42938"/>
    <n v="25071"/>
    <n v="17867"/>
  </r>
  <r>
    <x v="14"/>
    <x v="2"/>
    <x v="3"/>
    <x v="0"/>
    <x v="4"/>
    <n v="1"/>
    <n v="31467"/>
    <n v="10463"/>
    <n v="21004"/>
  </r>
  <r>
    <x v="15"/>
    <x v="0"/>
    <x v="0"/>
    <x v="0"/>
    <x v="0"/>
    <n v="6"/>
    <n v="14592"/>
    <n v="6747"/>
    <n v="7845"/>
  </r>
  <r>
    <x v="16"/>
    <x v="1"/>
    <x v="1"/>
    <x v="1"/>
    <x v="1"/>
    <n v="9"/>
    <n v="27273"/>
    <n v="11865"/>
    <n v="15408"/>
  </r>
  <r>
    <x v="17"/>
    <x v="2"/>
    <x v="2"/>
    <x v="1"/>
    <x v="2"/>
    <n v="4"/>
    <n v="27114"/>
    <n v="31023"/>
    <n v="-3909"/>
  </r>
  <r>
    <x v="18"/>
    <x v="3"/>
    <x v="0"/>
    <x v="0"/>
    <x v="3"/>
    <n v="8"/>
    <n v="47650"/>
    <n v="8852"/>
    <n v="38798"/>
  </r>
  <r>
    <x v="19"/>
    <x v="0"/>
    <x v="3"/>
    <x v="0"/>
    <x v="4"/>
    <n v="10"/>
    <n v="41678"/>
    <n v="7513"/>
    <n v="34165"/>
  </r>
  <r>
    <x v="20"/>
    <x v="1"/>
    <x v="1"/>
    <x v="1"/>
    <x v="0"/>
    <n v="4"/>
    <n v="48924"/>
    <n v="37186"/>
    <n v="11738"/>
  </r>
  <r>
    <x v="21"/>
    <x v="2"/>
    <x v="0"/>
    <x v="0"/>
    <x v="1"/>
    <n v="4"/>
    <n v="11603"/>
    <n v="18714"/>
    <n v="-7111"/>
  </r>
  <r>
    <x v="22"/>
    <x v="3"/>
    <x v="2"/>
    <x v="1"/>
    <x v="2"/>
    <n v="5"/>
    <n v="25726"/>
    <n v="28994"/>
    <n v="-3268"/>
  </r>
  <r>
    <x v="23"/>
    <x v="0"/>
    <x v="3"/>
    <x v="0"/>
    <x v="3"/>
    <n v="10"/>
    <n v="42862"/>
    <n v="23720"/>
    <n v="19142"/>
  </r>
  <r>
    <x v="24"/>
    <x v="1"/>
    <x v="0"/>
    <x v="0"/>
    <x v="4"/>
    <n v="6"/>
    <n v="36298"/>
    <n v="7625"/>
    <n v="28673"/>
  </r>
  <r>
    <x v="25"/>
    <x v="2"/>
    <x v="1"/>
    <x v="1"/>
    <x v="0"/>
    <n v="9"/>
    <n v="34382"/>
    <n v="35185"/>
    <n v="-803"/>
  </r>
  <r>
    <x v="26"/>
    <x v="3"/>
    <x v="3"/>
    <x v="0"/>
    <x v="1"/>
    <n v="3"/>
    <n v="45219"/>
    <n v="23154"/>
    <n v="22065"/>
  </r>
  <r>
    <x v="27"/>
    <x v="0"/>
    <x v="2"/>
    <x v="1"/>
    <x v="2"/>
    <n v="8"/>
    <n v="18736"/>
    <n v="11368"/>
    <n v="7368"/>
  </r>
  <r>
    <x v="28"/>
    <x v="1"/>
    <x v="0"/>
    <x v="0"/>
    <x v="3"/>
    <n v="6"/>
    <n v="35005"/>
    <n v="30785"/>
    <n v="4220"/>
  </r>
  <r>
    <x v="29"/>
    <x v="2"/>
    <x v="3"/>
    <x v="0"/>
    <x v="4"/>
    <n v="1"/>
    <n v="48340"/>
    <n v="20536"/>
    <n v="27804"/>
  </r>
  <r>
    <x v="30"/>
    <x v="0"/>
    <x v="0"/>
    <x v="0"/>
    <x v="0"/>
    <n v="9"/>
    <n v="37288"/>
    <n v="30310"/>
    <n v="6978"/>
  </r>
  <r>
    <x v="31"/>
    <x v="1"/>
    <x v="1"/>
    <x v="1"/>
    <x v="1"/>
    <n v="8"/>
    <n v="10082"/>
    <n v="27256"/>
    <n v="-17174"/>
  </r>
  <r>
    <x v="32"/>
    <x v="2"/>
    <x v="2"/>
    <x v="1"/>
    <x v="2"/>
    <n v="9"/>
    <n v="37853"/>
    <n v="38923"/>
    <n v="-1070"/>
  </r>
  <r>
    <x v="33"/>
    <x v="3"/>
    <x v="0"/>
    <x v="0"/>
    <x v="3"/>
    <n v="6"/>
    <n v="11976"/>
    <n v="38193"/>
    <n v="-26217"/>
  </r>
  <r>
    <x v="34"/>
    <x v="0"/>
    <x v="3"/>
    <x v="0"/>
    <x v="4"/>
    <n v="2"/>
    <n v="15271"/>
    <n v="8851"/>
    <n v="6420"/>
  </r>
  <r>
    <x v="35"/>
    <x v="1"/>
    <x v="1"/>
    <x v="1"/>
    <x v="0"/>
    <n v="8"/>
    <n v="37376"/>
    <n v="25919"/>
    <n v="11457"/>
  </r>
  <r>
    <x v="36"/>
    <x v="2"/>
    <x v="0"/>
    <x v="0"/>
    <x v="1"/>
    <n v="5"/>
    <n v="47898"/>
    <n v="20043"/>
    <n v="27855"/>
  </r>
  <r>
    <x v="37"/>
    <x v="3"/>
    <x v="2"/>
    <x v="1"/>
    <x v="2"/>
    <n v="9"/>
    <n v="43799"/>
    <n v="12759"/>
    <n v="31040"/>
  </r>
  <r>
    <x v="38"/>
    <x v="0"/>
    <x v="3"/>
    <x v="0"/>
    <x v="3"/>
    <n v="9"/>
    <n v="38294"/>
    <n v="22506"/>
    <n v="15788"/>
  </r>
  <r>
    <x v="39"/>
    <x v="1"/>
    <x v="0"/>
    <x v="0"/>
    <x v="4"/>
    <n v="5"/>
    <n v="45202"/>
    <n v="18485"/>
    <n v="26717"/>
  </r>
  <r>
    <x v="40"/>
    <x v="2"/>
    <x v="1"/>
    <x v="1"/>
    <x v="0"/>
    <n v="10"/>
    <n v="49489"/>
    <n v="24089"/>
    <n v="25400"/>
  </r>
  <r>
    <x v="41"/>
    <x v="3"/>
    <x v="3"/>
    <x v="0"/>
    <x v="1"/>
    <n v="5"/>
    <n v="44767"/>
    <n v="21847"/>
    <n v="22920"/>
  </r>
  <r>
    <x v="42"/>
    <x v="0"/>
    <x v="2"/>
    <x v="1"/>
    <x v="2"/>
    <n v="2"/>
    <n v="12034"/>
    <n v="6376"/>
    <n v="5658"/>
  </r>
  <r>
    <x v="43"/>
    <x v="1"/>
    <x v="0"/>
    <x v="0"/>
    <x v="3"/>
    <n v="6"/>
    <n v="37112"/>
    <n v="20322"/>
    <n v="16790"/>
  </r>
  <r>
    <x v="44"/>
    <x v="2"/>
    <x v="3"/>
    <x v="0"/>
    <x v="4"/>
    <n v="9"/>
    <n v="18912"/>
    <n v="20665"/>
    <n v="-1753"/>
  </r>
  <r>
    <x v="45"/>
    <x v="0"/>
    <x v="0"/>
    <x v="0"/>
    <x v="0"/>
    <n v="7"/>
    <n v="20956"/>
    <n v="15051"/>
    <n v="5905"/>
  </r>
  <r>
    <x v="46"/>
    <x v="1"/>
    <x v="1"/>
    <x v="1"/>
    <x v="1"/>
    <n v="8"/>
    <n v="22298"/>
    <n v="5587"/>
    <n v="16711"/>
  </r>
  <r>
    <x v="47"/>
    <x v="2"/>
    <x v="2"/>
    <x v="1"/>
    <x v="2"/>
    <n v="6"/>
    <n v="11303"/>
    <n v="21191"/>
    <n v="-9888"/>
  </r>
  <r>
    <x v="48"/>
    <x v="3"/>
    <x v="0"/>
    <x v="0"/>
    <x v="3"/>
    <n v="6"/>
    <n v="31187"/>
    <n v="17034"/>
    <n v="14153"/>
  </r>
  <r>
    <x v="49"/>
    <x v="0"/>
    <x v="3"/>
    <x v="0"/>
    <x v="4"/>
    <n v="9"/>
    <n v="39407"/>
    <n v="27366"/>
    <n v="12041"/>
  </r>
  <r>
    <x v="50"/>
    <x v="1"/>
    <x v="1"/>
    <x v="1"/>
    <x v="0"/>
    <n v="7"/>
    <n v="38364"/>
    <n v="34910"/>
    <n v="3454"/>
  </r>
  <r>
    <x v="51"/>
    <x v="2"/>
    <x v="0"/>
    <x v="0"/>
    <x v="1"/>
    <n v="7"/>
    <n v="46904"/>
    <n v="15846"/>
    <n v="31058"/>
  </r>
  <r>
    <x v="52"/>
    <x v="3"/>
    <x v="2"/>
    <x v="1"/>
    <x v="2"/>
    <n v="1"/>
    <n v="41324"/>
    <n v="29971"/>
    <n v="11353"/>
  </r>
  <r>
    <x v="53"/>
    <x v="0"/>
    <x v="3"/>
    <x v="0"/>
    <x v="3"/>
    <n v="3"/>
    <n v="44608"/>
    <n v="38589"/>
    <n v="6019"/>
  </r>
  <r>
    <x v="54"/>
    <x v="1"/>
    <x v="0"/>
    <x v="0"/>
    <x v="4"/>
    <n v="1"/>
    <n v="20836"/>
    <n v="17033"/>
    <n v="3803"/>
  </r>
  <r>
    <x v="55"/>
    <x v="2"/>
    <x v="1"/>
    <x v="1"/>
    <x v="0"/>
    <n v="4"/>
    <n v="45449"/>
    <n v="6520"/>
    <n v="38929"/>
  </r>
  <r>
    <x v="56"/>
    <x v="3"/>
    <x v="3"/>
    <x v="0"/>
    <x v="1"/>
    <n v="5"/>
    <n v="11984"/>
    <n v="15968"/>
    <n v="-3984"/>
  </r>
  <r>
    <x v="57"/>
    <x v="0"/>
    <x v="2"/>
    <x v="1"/>
    <x v="2"/>
    <n v="10"/>
    <n v="37244"/>
    <n v="21350"/>
    <n v="15894"/>
  </r>
  <r>
    <x v="58"/>
    <x v="1"/>
    <x v="0"/>
    <x v="0"/>
    <x v="3"/>
    <n v="8"/>
    <n v="35806"/>
    <n v="19019"/>
    <n v="16787"/>
  </r>
  <r>
    <x v="59"/>
    <x v="2"/>
    <x v="3"/>
    <x v="0"/>
    <x v="4"/>
    <n v="6"/>
    <n v="23134"/>
    <n v="14294"/>
    <n v="8840"/>
  </r>
  <r>
    <x v="60"/>
    <x v="0"/>
    <x v="0"/>
    <x v="0"/>
    <x v="0"/>
    <n v="4"/>
    <n v="29232"/>
    <n v="7834"/>
    <n v="21398"/>
  </r>
  <r>
    <x v="61"/>
    <x v="1"/>
    <x v="1"/>
    <x v="1"/>
    <x v="1"/>
    <n v="4"/>
    <n v="26088"/>
    <n v="24648"/>
    <n v="1440"/>
  </r>
  <r>
    <x v="62"/>
    <x v="2"/>
    <x v="2"/>
    <x v="1"/>
    <x v="2"/>
    <n v="6"/>
    <n v="21936"/>
    <n v="15312"/>
    <n v="6624"/>
  </r>
  <r>
    <x v="63"/>
    <x v="3"/>
    <x v="0"/>
    <x v="0"/>
    <x v="3"/>
    <n v="8"/>
    <n v="32202"/>
    <n v="5047"/>
    <n v="27155"/>
  </r>
  <r>
    <x v="64"/>
    <x v="0"/>
    <x v="3"/>
    <x v="0"/>
    <x v="4"/>
    <n v="2"/>
    <n v="12077"/>
    <n v="14556"/>
    <n v="-2479"/>
  </r>
  <r>
    <x v="65"/>
    <x v="1"/>
    <x v="1"/>
    <x v="1"/>
    <x v="0"/>
    <n v="6"/>
    <n v="34646"/>
    <n v="23521"/>
    <n v="11125"/>
  </r>
  <r>
    <x v="66"/>
    <x v="2"/>
    <x v="0"/>
    <x v="0"/>
    <x v="1"/>
    <n v="4"/>
    <n v="11296"/>
    <n v="5341"/>
    <n v="5955"/>
  </r>
  <r>
    <x v="67"/>
    <x v="3"/>
    <x v="2"/>
    <x v="1"/>
    <x v="2"/>
    <n v="8"/>
    <n v="44370"/>
    <n v="8705"/>
    <n v="35665"/>
  </r>
  <r>
    <x v="68"/>
    <x v="0"/>
    <x v="3"/>
    <x v="0"/>
    <x v="3"/>
    <n v="4"/>
    <n v="30616"/>
    <n v="29066"/>
    <n v="1550"/>
  </r>
  <r>
    <x v="69"/>
    <x v="1"/>
    <x v="0"/>
    <x v="0"/>
    <x v="4"/>
    <n v="7"/>
    <n v="36228"/>
    <n v="33574"/>
    <n v="2654"/>
  </r>
  <r>
    <x v="70"/>
    <x v="2"/>
    <x v="1"/>
    <x v="1"/>
    <x v="0"/>
    <n v="10"/>
    <n v="18539"/>
    <n v="15659"/>
    <n v="2880"/>
  </r>
  <r>
    <x v="71"/>
    <x v="3"/>
    <x v="3"/>
    <x v="0"/>
    <x v="1"/>
    <n v="5"/>
    <n v="41895"/>
    <n v="31558"/>
    <n v="10337"/>
  </r>
  <r>
    <x v="72"/>
    <x v="0"/>
    <x v="2"/>
    <x v="1"/>
    <x v="2"/>
    <n v="10"/>
    <n v="29920"/>
    <n v="12596"/>
    <n v="17324"/>
  </r>
  <r>
    <x v="73"/>
    <x v="1"/>
    <x v="0"/>
    <x v="0"/>
    <x v="3"/>
    <n v="8"/>
    <n v="29706"/>
    <n v="34512"/>
    <n v="-4806"/>
  </r>
  <r>
    <x v="74"/>
    <x v="2"/>
    <x v="3"/>
    <x v="0"/>
    <x v="4"/>
    <n v="6"/>
    <n v="31250"/>
    <n v="17627"/>
    <n v="13623"/>
  </r>
  <r>
    <x v="75"/>
    <x v="0"/>
    <x v="0"/>
    <x v="0"/>
    <x v="0"/>
    <n v="5"/>
    <n v="31020"/>
    <n v="9606"/>
    <n v="21414"/>
  </r>
  <r>
    <x v="76"/>
    <x v="1"/>
    <x v="1"/>
    <x v="1"/>
    <x v="1"/>
    <n v="8"/>
    <n v="13179"/>
    <n v="13486"/>
    <n v="-307"/>
  </r>
  <r>
    <x v="77"/>
    <x v="2"/>
    <x v="2"/>
    <x v="1"/>
    <x v="2"/>
    <n v="3"/>
    <n v="37953"/>
    <n v="36105"/>
    <n v="1848"/>
  </r>
  <r>
    <x v="78"/>
    <x v="3"/>
    <x v="0"/>
    <x v="0"/>
    <x v="3"/>
    <n v="8"/>
    <n v="48186"/>
    <n v="22981"/>
    <n v="25205"/>
  </r>
  <r>
    <x v="79"/>
    <x v="0"/>
    <x v="3"/>
    <x v="0"/>
    <x v="4"/>
    <n v="3"/>
    <n v="45377"/>
    <n v="7339"/>
    <n v="38038"/>
  </r>
  <r>
    <x v="80"/>
    <x v="1"/>
    <x v="1"/>
    <x v="1"/>
    <x v="0"/>
    <n v="4"/>
    <n v="13950"/>
    <n v="17707"/>
    <n v="-3757"/>
  </r>
  <r>
    <x v="81"/>
    <x v="2"/>
    <x v="0"/>
    <x v="0"/>
    <x v="1"/>
    <n v="3"/>
    <n v="13259"/>
    <n v="10940"/>
    <n v="2319"/>
  </r>
  <r>
    <x v="82"/>
    <x v="3"/>
    <x v="2"/>
    <x v="1"/>
    <x v="2"/>
    <n v="8"/>
    <n v="29832"/>
    <n v="32441"/>
    <n v="-2609"/>
  </r>
  <r>
    <x v="83"/>
    <x v="0"/>
    <x v="3"/>
    <x v="0"/>
    <x v="3"/>
    <n v="5"/>
    <n v="12474"/>
    <n v="36848"/>
    <n v="-24374"/>
  </r>
  <r>
    <x v="84"/>
    <x v="1"/>
    <x v="0"/>
    <x v="0"/>
    <x v="4"/>
    <n v="1"/>
    <n v="28575"/>
    <n v="7428"/>
    <n v="21147"/>
  </r>
  <r>
    <x v="85"/>
    <x v="2"/>
    <x v="1"/>
    <x v="1"/>
    <x v="0"/>
    <n v="6"/>
    <n v="36057"/>
    <n v="36454"/>
    <n v="-397"/>
  </r>
  <r>
    <x v="86"/>
    <x v="3"/>
    <x v="3"/>
    <x v="0"/>
    <x v="1"/>
    <n v="9"/>
    <n v="48574"/>
    <n v="12334"/>
    <n v="36240"/>
  </r>
  <r>
    <x v="87"/>
    <x v="0"/>
    <x v="2"/>
    <x v="1"/>
    <x v="2"/>
    <n v="4"/>
    <n v="43446"/>
    <n v="26147"/>
    <n v="17299"/>
  </r>
  <r>
    <x v="88"/>
    <x v="1"/>
    <x v="0"/>
    <x v="0"/>
    <x v="3"/>
    <n v="7"/>
    <n v="49513"/>
    <n v="38877"/>
    <n v="10636"/>
  </r>
  <r>
    <x v="89"/>
    <x v="2"/>
    <x v="3"/>
    <x v="0"/>
    <x v="4"/>
    <n v="5"/>
    <n v="40615"/>
    <n v="28036"/>
    <n v="12579"/>
  </r>
  <r>
    <x v="90"/>
    <x v="0"/>
    <x v="0"/>
    <x v="0"/>
    <x v="0"/>
    <n v="6"/>
    <n v="33535"/>
    <n v="17580"/>
    <n v="15955"/>
  </r>
  <r>
    <x v="91"/>
    <x v="1"/>
    <x v="1"/>
    <x v="1"/>
    <x v="1"/>
    <n v="9"/>
    <n v="42031"/>
    <n v="25526"/>
    <n v="16505"/>
  </r>
  <r>
    <x v="92"/>
    <x v="2"/>
    <x v="2"/>
    <x v="1"/>
    <x v="2"/>
    <n v="5"/>
    <n v="19757"/>
    <n v="32981"/>
    <n v="-13224"/>
  </r>
  <r>
    <x v="93"/>
    <x v="3"/>
    <x v="0"/>
    <x v="0"/>
    <x v="3"/>
    <n v="4"/>
    <n v="38554"/>
    <n v="37697"/>
    <n v="857"/>
  </r>
  <r>
    <x v="94"/>
    <x v="0"/>
    <x v="3"/>
    <x v="0"/>
    <x v="4"/>
    <n v="9"/>
    <n v="45759"/>
    <n v="33193"/>
    <n v="12566"/>
  </r>
  <r>
    <x v="95"/>
    <x v="1"/>
    <x v="1"/>
    <x v="1"/>
    <x v="0"/>
    <n v="8"/>
    <n v="38727"/>
    <n v="31020"/>
    <n v="7707"/>
  </r>
  <r>
    <x v="96"/>
    <x v="2"/>
    <x v="0"/>
    <x v="0"/>
    <x v="1"/>
    <n v="7"/>
    <n v="37081"/>
    <n v="12492"/>
    <n v="24589"/>
  </r>
  <r>
    <x v="97"/>
    <x v="3"/>
    <x v="2"/>
    <x v="1"/>
    <x v="2"/>
    <n v="6"/>
    <n v="17688"/>
    <n v="35476"/>
    <n v="-17788"/>
  </r>
  <r>
    <x v="98"/>
    <x v="0"/>
    <x v="3"/>
    <x v="0"/>
    <x v="3"/>
    <n v="3"/>
    <n v="44037"/>
    <n v="16501"/>
    <n v="27536"/>
  </r>
  <r>
    <x v="99"/>
    <x v="1"/>
    <x v="0"/>
    <x v="0"/>
    <x v="4"/>
    <n v="3"/>
    <n v="41364"/>
    <n v="38079"/>
    <n v="3285"/>
  </r>
  <r>
    <x v="100"/>
    <x v="2"/>
    <x v="1"/>
    <x v="1"/>
    <x v="0"/>
    <n v="5"/>
    <n v="28302"/>
    <n v="7452"/>
    <n v="20850"/>
  </r>
  <r>
    <x v="101"/>
    <x v="3"/>
    <x v="3"/>
    <x v="0"/>
    <x v="1"/>
    <n v="5"/>
    <n v="33860"/>
    <n v="23468"/>
    <n v="10392"/>
  </r>
  <r>
    <x v="102"/>
    <x v="0"/>
    <x v="2"/>
    <x v="1"/>
    <x v="2"/>
    <n v="7"/>
    <n v="39181"/>
    <n v="19648"/>
    <n v="19533"/>
  </r>
  <r>
    <x v="103"/>
    <x v="1"/>
    <x v="0"/>
    <x v="0"/>
    <x v="3"/>
    <n v="6"/>
    <n v="13610"/>
    <n v="39416"/>
    <n v="-25806"/>
  </r>
  <r>
    <x v="104"/>
    <x v="2"/>
    <x v="3"/>
    <x v="0"/>
    <x v="4"/>
    <n v="7"/>
    <n v="47855"/>
    <n v="33575"/>
    <n v="14280"/>
  </r>
  <r>
    <x v="105"/>
    <x v="0"/>
    <x v="0"/>
    <x v="0"/>
    <x v="0"/>
    <n v="4"/>
    <n v="24148"/>
    <n v="20481"/>
    <n v="3667"/>
  </r>
  <r>
    <x v="106"/>
    <x v="1"/>
    <x v="1"/>
    <x v="1"/>
    <x v="1"/>
    <n v="6"/>
    <n v="36158"/>
    <n v="20945"/>
    <n v="15213"/>
  </r>
  <r>
    <x v="107"/>
    <x v="2"/>
    <x v="2"/>
    <x v="1"/>
    <x v="2"/>
    <n v="10"/>
    <n v="15779"/>
    <n v="25640"/>
    <n v="-9861"/>
  </r>
  <r>
    <x v="108"/>
    <x v="3"/>
    <x v="0"/>
    <x v="0"/>
    <x v="3"/>
    <n v="3"/>
    <n v="24308"/>
    <n v="21599"/>
    <n v="2709"/>
  </r>
  <r>
    <x v="109"/>
    <x v="0"/>
    <x v="3"/>
    <x v="0"/>
    <x v="4"/>
    <n v="9"/>
    <n v="11459"/>
    <n v="11804"/>
    <n v="-345"/>
  </r>
  <r>
    <x v="110"/>
    <x v="1"/>
    <x v="1"/>
    <x v="1"/>
    <x v="0"/>
    <n v="6"/>
    <n v="28838"/>
    <n v="18797"/>
    <n v="10041"/>
  </r>
  <r>
    <x v="111"/>
    <x v="2"/>
    <x v="0"/>
    <x v="0"/>
    <x v="1"/>
    <n v="4"/>
    <n v="12470"/>
    <n v="36397"/>
    <n v="-23927"/>
  </r>
  <r>
    <x v="112"/>
    <x v="3"/>
    <x v="2"/>
    <x v="1"/>
    <x v="2"/>
    <n v="3"/>
    <n v="19443"/>
    <n v="28137"/>
    <n v="-8694"/>
  </r>
  <r>
    <x v="113"/>
    <x v="0"/>
    <x v="3"/>
    <x v="0"/>
    <x v="3"/>
    <n v="2"/>
    <n v="26792"/>
    <n v="19316"/>
    <n v="7476"/>
  </r>
  <r>
    <x v="114"/>
    <x v="1"/>
    <x v="0"/>
    <x v="0"/>
    <x v="4"/>
    <n v="2"/>
    <n v="27403"/>
    <n v="37458"/>
    <n v="-10055"/>
  </r>
  <r>
    <x v="115"/>
    <x v="2"/>
    <x v="1"/>
    <x v="1"/>
    <x v="0"/>
    <n v="9"/>
    <n v="16371"/>
    <n v="27230"/>
    <n v="-10859"/>
  </r>
  <r>
    <x v="116"/>
    <x v="3"/>
    <x v="3"/>
    <x v="0"/>
    <x v="1"/>
    <n v="9"/>
    <n v="46767"/>
    <n v="35104"/>
    <n v="11663"/>
  </r>
  <r>
    <x v="117"/>
    <x v="0"/>
    <x v="2"/>
    <x v="1"/>
    <x v="2"/>
    <n v="8"/>
    <n v="12368"/>
    <n v="38800"/>
    <n v="-26432"/>
  </r>
  <r>
    <x v="118"/>
    <x v="1"/>
    <x v="0"/>
    <x v="0"/>
    <x v="3"/>
    <n v="5"/>
    <n v="11102"/>
    <n v="38907"/>
    <n v="-27805"/>
  </r>
  <r>
    <x v="119"/>
    <x v="2"/>
    <x v="3"/>
    <x v="0"/>
    <x v="4"/>
    <n v="7"/>
    <n v="31586"/>
    <n v="33428"/>
    <n v="-18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D8F1F5-DA23-4DD9-80C5-C4135BDE45D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3:B8" firstHeaderRow="1" firstDataRow="1" firstDataCol="1"/>
  <pivotFields count="11">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5">
        <item x="2"/>
        <item x="0"/>
        <item x="1"/>
        <item x="3"/>
        <item t="default"/>
      </items>
    </pivotField>
    <pivotField showAll="0">
      <items count="5">
        <item x="2"/>
        <item x="0"/>
        <item x="3"/>
        <item x="1"/>
        <item t="default"/>
      </items>
    </pivotField>
    <pivotField showAll="0">
      <items count="3">
        <item x="1"/>
        <item x="0"/>
        <item t="default"/>
      </items>
    </pivotField>
    <pivotField showAll="0">
      <items count="6">
        <item x="2"/>
        <item x="4"/>
        <item x="3"/>
        <item x="1"/>
        <item x="0"/>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 Total  Sales" fld="6" baseField="0" baseItem="0" numFmtId="164"/>
  </dataFields>
  <formats count="2">
    <format dxfId="15">
      <pivotArea collapsedLevelsAreSubtotals="1" fieldPosition="0">
        <references count="1">
          <reference field="1" count="1">
            <x v="2"/>
          </reference>
        </references>
      </pivotArea>
    </format>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F30F3D-EB15-460A-9421-77FECDAB281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1">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5">
        <item x="2"/>
        <item x="0"/>
        <item x="1"/>
        <item x="3"/>
        <item t="default"/>
      </items>
    </pivotField>
    <pivotField axis="axisRow" showAll="0">
      <items count="5">
        <item x="2"/>
        <item x="0"/>
        <item x="3"/>
        <item x="1"/>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D875E7-3EA7-44B1-ACBB-CC784109A1F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1">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5">
        <item x="2"/>
        <item x="0"/>
        <item x="1"/>
        <item x="3"/>
        <item t="default"/>
      </items>
    </pivotField>
    <pivotField showAll="0"/>
    <pivotField showAll="0"/>
    <pivotField axis="axisRow" showAll="0">
      <items count="6">
        <item x="2"/>
        <item x="4"/>
        <item x="3"/>
        <item x="1"/>
        <item x="0"/>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Sales" fld="6"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D97162-658F-44B1-A967-1C22922275F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1">
    <pivotField axis="axisRow"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5">
        <item x="2"/>
        <item x="0"/>
        <item x="1"/>
        <item x="3"/>
        <item t="default"/>
      </items>
    </pivotField>
    <pivotField showAll="0"/>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0"/>
  </rowFields>
  <rowItems count="5">
    <i>
      <x v="1"/>
    </i>
    <i>
      <x v="2"/>
    </i>
    <i>
      <x v="3"/>
    </i>
    <i>
      <x v="4"/>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11D73C-FCB7-4383-AEC2-D592D8B6BDB7}" sourceName="Region">
  <pivotTables>
    <pivotTable tabId="8" name="PivotTable3"/>
    <pivotTable tabId="13" name="PivotTable9"/>
    <pivotTable tabId="10" name="PivotTable5"/>
    <pivotTable tabId="12" name="PivotTable8"/>
  </pivotTables>
  <data>
    <tabular pivotCacheId="97985934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9F7A8EB-50E5-4895-BADF-DA2920575962}" sourceName="Product">
  <pivotTables>
    <pivotTable tabId="8" name="PivotTable3"/>
  </pivotTables>
  <data>
    <tabular pivotCacheId="979859340">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36151A-3065-4941-BBF3-A0FCCB613F12}" sourceName="Category">
  <pivotTables>
    <pivotTable tabId="8" name="PivotTable3"/>
  </pivotTables>
  <data>
    <tabular pivotCacheId="97985934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F044C7DF-74BF-40BD-9E6A-73E5E8BF86BE}" sourceName="Salesperson">
  <pivotTables>
    <pivotTable tabId="8" name="PivotTable3"/>
  </pivotTables>
  <data>
    <tabular pivotCacheId="979859340">
      <items count="5">
        <i x="2" s="1"/>
        <i x="4"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07F992-68B1-4EF2-ADA8-A94AC8379FCF}" cache="Slicer_Region" caption="Region" rowHeight="234950"/>
  <slicer name="Product 1" xr10:uid="{73C25BDB-96E4-43B7-BA15-AA1E281D420D}" cache="Slicer_Product1" caption="Product" rowHeight="234950"/>
  <slicer name="Category" xr10:uid="{C8FAC662-346D-4D6C-9BA4-2D1194C494B7}" cache="Slicer_Category" caption="Category" rowHeight="234950"/>
  <slicer name="Salesperson 1" xr10:uid="{02A4405C-22A0-444C-B614-335BDBEC4525}" cache="Slicer_Salesperson1"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7F6B6B-1921-4305-8B64-633FE93A76B5}" name="Table1" displayName="Table1" ref="A1:F11" totalsRowShown="0" headerRowDxfId="29" dataDxfId="28">
  <autoFilter ref="A1:F11" xr:uid="{477F6B6B-1921-4305-8B64-633FE93A76B5}"/>
  <tableColumns count="6">
    <tableColumn id="1" xr3:uid="{84BD557D-40E7-4EBE-ADFC-EBEE55345F47}" name="Date" dataDxfId="27" totalsRowDxfId="26"/>
    <tableColumn id="2" xr3:uid="{CA56F959-8D6B-44AC-B8B6-7DF765D4C0C3}" name="Product" dataDxfId="25" totalsRowDxfId="24"/>
    <tableColumn id="3" xr3:uid="{A678537D-F8AF-4900-9F49-58B4DFF9573E}" name="Region" dataDxfId="23" totalsRowDxfId="22"/>
    <tableColumn id="4" xr3:uid="{064C65A2-D55F-4194-8644-5F8C13BBD390}" name="Salesperson" dataDxfId="21" totalsRowDxfId="20"/>
    <tableColumn id="5" xr3:uid="{E11AE2A0-3126-4BEB-89AB-013A0F0943CE}" name="Sales" dataDxfId="19" totalsRowDxfId="18"/>
    <tableColumn id="7" xr3:uid="{CA4E8A82-F173-4B08-9F75-D7095A3E68A6}" name="Performance" dataDxfId="17" totalsRowDxfId="16">
      <calculatedColumnFormula>IF(E2&gt;10000, "High", "Low")</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EA224E-2177-4A5F-8231-6A55F8448B57}" name="Table3" displayName="Table3" ref="A1:I121" totalsRowShown="0" headerRowDxfId="13" dataDxfId="12">
  <autoFilter ref="A1:I121" xr:uid="{6BEA224E-2177-4A5F-8231-6A55F8448B57}"/>
  <tableColumns count="9">
    <tableColumn id="1" xr3:uid="{49CD26A8-86D0-4942-8187-B648CAAEF686}" name="Order Date" dataDxfId="11"/>
    <tableColumn id="2" xr3:uid="{7F750E17-BF4D-463E-A202-08B742DF179D}" name="Region" dataDxfId="10"/>
    <tableColumn id="3" xr3:uid="{E70602E1-5C60-4D22-85F2-DA348D8D7902}" name="Product" dataDxfId="9"/>
    <tableColumn id="4" xr3:uid="{345EF0BC-D55A-419F-BE54-4ADEBC2329DE}" name="Category" dataDxfId="8"/>
    <tableColumn id="5" xr3:uid="{335A3211-EB64-4CB9-BEDF-1892729E8210}" name="Salesperson" dataDxfId="7"/>
    <tableColumn id="6" xr3:uid="{2B8DF3D2-D695-43A7-9D78-C90D94D24A6D}" name="Units Sold" dataDxfId="6">
      <calculatedColumnFormula>RANDBETWEEN(1,10)</calculatedColumnFormula>
    </tableColumn>
    <tableColumn id="7" xr3:uid="{346D3CE3-8013-4F5C-B294-8DAC89DBC8F0}" name="Sales" dataDxfId="5">
      <calculatedColumnFormula>RANDBETWEEN(10000,50000)</calculatedColumnFormula>
    </tableColumn>
    <tableColumn id="8" xr3:uid="{AF04F0E1-700D-4689-9F84-04BE209D23A7}" name="Cost" dataDxfId="4">
      <calculatedColumnFormula>RANDBETWEEN(5000,40000)</calculatedColumnFormula>
    </tableColumn>
    <tableColumn id="9" xr3:uid="{78E90B4D-0619-4B6A-9E30-797B8B0721D0}" name="Profit" dataDxfId="3">
      <calculatedColumnFormula>G2-H2</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0EBAF-4865-45BF-A7BD-45036D698B18}">
  <dimension ref="A1:F11"/>
  <sheetViews>
    <sheetView workbookViewId="0">
      <selection activeCell="J16" sqref="J16"/>
    </sheetView>
  </sheetViews>
  <sheetFormatPr defaultRowHeight="14.4" x14ac:dyDescent="0.3"/>
  <cols>
    <col min="1" max="1" width="13.77734375" customWidth="1"/>
    <col min="2" max="2" width="9.5546875" customWidth="1"/>
    <col min="4" max="4" width="12.88671875" customWidth="1"/>
  </cols>
  <sheetData>
    <row r="1" spans="1:6" ht="28.8" x14ac:dyDescent="0.3">
      <c r="A1" s="2" t="s">
        <v>0</v>
      </c>
      <c r="B1" s="2" t="s">
        <v>1</v>
      </c>
      <c r="C1" s="2" t="s">
        <v>2</v>
      </c>
      <c r="D1" s="2" t="s">
        <v>3</v>
      </c>
      <c r="E1" s="2" t="s">
        <v>4</v>
      </c>
      <c r="F1" s="2" t="s">
        <v>21</v>
      </c>
    </row>
    <row r="2" spans="1:6" x14ac:dyDescent="0.3">
      <c r="A2" s="3">
        <v>46023</v>
      </c>
      <c r="B2" s="4" t="s">
        <v>5</v>
      </c>
      <c r="C2" s="4" t="s">
        <v>6</v>
      </c>
      <c r="D2" s="4" t="s">
        <v>7</v>
      </c>
      <c r="E2" s="4">
        <v>45000</v>
      </c>
      <c r="F2" s="4" t="str">
        <f t="shared" ref="F2:F11" si="0">IF(E2&gt;10000, "High", "Low")</f>
        <v>High</v>
      </c>
    </row>
    <row r="3" spans="1:6" x14ac:dyDescent="0.3">
      <c r="A3" s="3">
        <v>46024</v>
      </c>
      <c r="B3" s="4" t="s">
        <v>8</v>
      </c>
      <c r="C3" s="4" t="s">
        <v>9</v>
      </c>
      <c r="D3" s="4" t="s">
        <v>10</v>
      </c>
      <c r="E3" s="4">
        <v>1500</v>
      </c>
      <c r="F3" s="4" t="str">
        <f t="shared" si="0"/>
        <v>Low</v>
      </c>
    </row>
    <row r="4" spans="1:6" x14ac:dyDescent="0.3">
      <c r="A4" s="3">
        <v>46025</v>
      </c>
      <c r="B4" s="4" t="s">
        <v>11</v>
      </c>
      <c r="C4" s="4" t="s">
        <v>12</v>
      </c>
      <c r="D4" s="4" t="s">
        <v>13</v>
      </c>
      <c r="E4" s="4">
        <v>2500</v>
      </c>
      <c r="F4" s="4" t="str">
        <f t="shared" si="0"/>
        <v>Low</v>
      </c>
    </row>
    <row r="5" spans="1:6" x14ac:dyDescent="0.3">
      <c r="A5" s="3">
        <v>46026</v>
      </c>
      <c r="B5" s="4" t="s">
        <v>5</v>
      </c>
      <c r="C5" s="4" t="s">
        <v>14</v>
      </c>
      <c r="D5" s="4" t="s">
        <v>15</v>
      </c>
      <c r="E5" s="4">
        <v>47000</v>
      </c>
      <c r="F5" s="4" t="str">
        <f t="shared" si="0"/>
        <v>High</v>
      </c>
    </row>
    <row r="6" spans="1:6" x14ac:dyDescent="0.3">
      <c r="A6" s="3">
        <v>46027</v>
      </c>
      <c r="B6" s="4" t="s">
        <v>16</v>
      </c>
      <c r="C6" s="4" t="s">
        <v>6</v>
      </c>
      <c r="D6" s="4" t="s">
        <v>17</v>
      </c>
      <c r="E6" s="4">
        <v>12000</v>
      </c>
      <c r="F6" s="4" t="str">
        <f t="shared" si="0"/>
        <v>High</v>
      </c>
    </row>
    <row r="7" spans="1:6" x14ac:dyDescent="0.3">
      <c r="A7" s="3">
        <v>46028</v>
      </c>
      <c r="B7" s="4" t="s">
        <v>8</v>
      </c>
      <c r="C7" s="4" t="s">
        <v>9</v>
      </c>
      <c r="D7" s="4" t="s">
        <v>7</v>
      </c>
      <c r="E7" s="4">
        <v>1800</v>
      </c>
      <c r="F7" s="4" t="str">
        <f t="shared" si="0"/>
        <v>Low</v>
      </c>
    </row>
    <row r="8" spans="1:6" x14ac:dyDescent="0.3">
      <c r="A8" s="3">
        <v>46029</v>
      </c>
      <c r="B8" s="4" t="s">
        <v>5</v>
      </c>
      <c r="C8" s="4" t="s">
        <v>12</v>
      </c>
      <c r="D8" s="4" t="s">
        <v>10</v>
      </c>
      <c r="E8" s="4">
        <v>52000</v>
      </c>
      <c r="F8" s="4" t="str">
        <f t="shared" si="0"/>
        <v>High</v>
      </c>
    </row>
    <row r="9" spans="1:6" x14ac:dyDescent="0.3">
      <c r="A9" s="3">
        <v>46030</v>
      </c>
      <c r="B9" s="4" t="s">
        <v>11</v>
      </c>
      <c r="C9" s="4" t="s">
        <v>14</v>
      </c>
      <c r="D9" s="4" t="s">
        <v>13</v>
      </c>
      <c r="E9" s="4">
        <v>3000</v>
      </c>
      <c r="F9" s="4" t="str">
        <f t="shared" si="0"/>
        <v>Low</v>
      </c>
    </row>
    <row r="10" spans="1:6" x14ac:dyDescent="0.3">
      <c r="A10" s="3">
        <v>46031</v>
      </c>
      <c r="B10" s="4" t="s">
        <v>16</v>
      </c>
      <c r="C10" s="4" t="s">
        <v>6</v>
      </c>
      <c r="D10" s="4" t="s">
        <v>15</v>
      </c>
      <c r="E10" s="4">
        <v>14000</v>
      </c>
      <c r="F10" s="4" t="str">
        <f t="shared" si="0"/>
        <v>High</v>
      </c>
    </row>
    <row r="11" spans="1:6" x14ac:dyDescent="0.3">
      <c r="A11" s="3">
        <v>46032</v>
      </c>
      <c r="B11" s="4" t="s">
        <v>5</v>
      </c>
      <c r="C11" s="4" t="s">
        <v>9</v>
      </c>
      <c r="D11" s="4" t="s">
        <v>17</v>
      </c>
      <c r="E11" s="4">
        <v>49000</v>
      </c>
      <c r="F11" s="4" t="str">
        <f t="shared" si="0"/>
        <v>High</v>
      </c>
    </row>
  </sheetData>
  <phoneticPr fontId="2" type="noConversion"/>
  <conditionalFormatting sqref="E1:E11">
    <cfRule type="cellIs" dxfId="2" priority="3" operator="greaterThan">
      <formula>10000</formula>
    </cfRule>
  </conditionalFormatting>
  <conditionalFormatting sqref="E2:E11">
    <cfRule type="cellIs" dxfId="1" priority="2" operator="greaterThan">
      <formula>10000</formula>
    </cfRule>
  </conditionalFormatting>
  <conditionalFormatting sqref="F2:F11">
    <cfRule type="cellIs" dxfId="0" priority="1" operator="greaterThan">
      <formula>10000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AE250-E927-401D-908C-F5217F2CA9EA}">
  <dimension ref="A3:B8"/>
  <sheetViews>
    <sheetView tabSelected="1" workbookViewId="0">
      <selection activeCell="H25" sqref="H25"/>
    </sheetView>
  </sheetViews>
  <sheetFormatPr defaultRowHeight="14.4" x14ac:dyDescent="0.3"/>
  <cols>
    <col min="1" max="1" width="10.77734375" bestFit="1" customWidth="1"/>
    <col min="2" max="2" width="13.21875" bestFit="1" customWidth="1"/>
  </cols>
  <sheetData>
    <row r="3" spans="1:2" x14ac:dyDescent="0.3">
      <c r="A3" s="5" t="s">
        <v>2</v>
      </c>
      <c r="B3" t="s">
        <v>29</v>
      </c>
    </row>
    <row r="4" spans="1:2" x14ac:dyDescent="0.3">
      <c r="A4" s="6" t="s">
        <v>12</v>
      </c>
      <c r="B4" s="8">
        <v>977836</v>
      </c>
    </row>
    <row r="5" spans="1:2" x14ac:dyDescent="0.3">
      <c r="A5" s="6" t="s">
        <v>6</v>
      </c>
      <c r="B5" s="8">
        <v>907014</v>
      </c>
    </row>
    <row r="6" spans="1:2" x14ac:dyDescent="0.3">
      <c r="A6" s="6" t="s">
        <v>9</v>
      </c>
      <c r="B6" s="8">
        <v>1014748</v>
      </c>
    </row>
    <row r="7" spans="1:2" x14ac:dyDescent="0.3">
      <c r="A7" s="6" t="s">
        <v>14</v>
      </c>
      <c r="B7" s="8">
        <v>811648</v>
      </c>
    </row>
    <row r="8" spans="1:2" x14ac:dyDescent="0.3">
      <c r="A8" s="6" t="s">
        <v>19</v>
      </c>
      <c r="B8" s="8">
        <v>3711246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27AA1-9A9A-4178-907E-358C7807C0A4}">
  <dimension ref="A3:B8"/>
  <sheetViews>
    <sheetView workbookViewId="0">
      <selection activeCell="G26" sqref="G26"/>
    </sheetView>
  </sheetViews>
  <sheetFormatPr defaultRowHeight="14.4" x14ac:dyDescent="0.3"/>
  <cols>
    <col min="1" max="1" width="12.5546875" bestFit="1" customWidth="1"/>
    <col min="2" max="2" width="12.109375" bestFit="1" customWidth="1"/>
  </cols>
  <sheetData>
    <row r="3" spans="1:2" x14ac:dyDescent="0.3">
      <c r="A3" s="5" t="s">
        <v>18</v>
      </c>
      <c r="B3" t="s">
        <v>30</v>
      </c>
    </row>
    <row r="4" spans="1:2" x14ac:dyDescent="0.3">
      <c r="A4" s="6" t="s">
        <v>11</v>
      </c>
      <c r="B4">
        <v>102128</v>
      </c>
    </row>
    <row r="5" spans="1:2" x14ac:dyDescent="0.3">
      <c r="A5" s="6" t="s">
        <v>5</v>
      </c>
      <c r="B5">
        <v>336036</v>
      </c>
    </row>
    <row r="6" spans="1:2" x14ac:dyDescent="0.3">
      <c r="A6" s="6" t="s">
        <v>16</v>
      </c>
      <c r="B6">
        <v>291177</v>
      </c>
    </row>
    <row r="7" spans="1:2" x14ac:dyDescent="0.3">
      <c r="A7" s="6" t="s">
        <v>8</v>
      </c>
      <c r="B7">
        <v>237724</v>
      </c>
    </row>
    <row r="8" spans="1:2" x14ac:dyDescent="0.3">
      <c r="A8" s="6" t="s">
        <v>19</v>
      </c>
      <c r="B8">
        <v>967065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14A27-E8A2-41DD-ADEF-BCCAD0EC72E1}">
  <dimension ref="A3:B9"/>
  <sheetViews>
    <sheetView workbookViewId="0">
      <selection activeCell="O5" sqref="O5"/>
    </sheetView>
  </sheetViews>
  <sheetFormatPr defaultRowHeight="14.4" x14ac:dyDescent="0.3"/>
  <cols>
    <col min="1" max="1" width="12.5546875" bestFit="1" customWidth="1"/>
    <col min="2" max="2" width="11.6640625" bestFit="1" customWidth="1"/>
  </cols>
  <sheetData>
    <row r="3" spans="1:2" x14ac:dyDescent="0.3">
      <c r="A3" s="5" t="s">
        <v>18</v>
      </c>
      <c r="B3" t="s">
        <v>20</v>
      </c>
    </row>
    <row r="4" spans="1:2" x14ac:dyDescent="0.3">
      <c r="A4" s="6" t="s">
        <v>13</v>
      </c>
      <c r="B4">
        <v>676707</v>
      </c>
    </row>
    <row r="5" spans="1:2" x14ac:dyDescent="0.3">
      <c r="A5" s="6" t="s">
        <v>17</v>
      </c>
      <c r="B5">
        <v>752264</v>
      </c>
    </row>
    <row r="6" spans="1:2" x14ac:dyDescent="0.3">
      <c r="A6" s="6" t="s">
        <v>15</v>
      </c>
      <c r="B6">
        <v>791714</v>
      </c>
    </row>
    <row r="7" spans="1:2" x14ac:dyDescent="0.3">
      <c r="A7" s="6" t="s">
        <v>10</v>
      </c>
      <c r="B7">
        <v>711218</v>
      </c>
    </row>
    <row r="8" spans="1:2" x14ac:dyDescent="0.3">
      <c r="A8" s="6" t="s">
        <v>7</v>
      </c>
      <c r="B8">
        <v>779343</v>
      </c>
    </row>
    <row r="9" spans="1:2" x14ac:dyDescent="0.3">
      <c r="A9" s="6" t="s">
        <v>19</v>
      </c>
      <c r="B9">
        <v>3711246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5C5F-0C06-4822-ABEF-330DC9D669A4}">
  <dimension ref="A3:B8"/>
  <sheetViews>
    <sheetView workbookViewId="0">
      <selection activeCell="F22" sqref="F22"/>
    </sheetView>
  </sheetViews>
  <sheetFormatPr defaultRowHeight="14.4" x14ac:dyDescent="0.3"/>
  <cols>
    <col min="1" max="1" width="12.5546875" bestFit="1" customWidth="1"/>
    <col min="2" max="2" width="11.6640625" bestFit="1" customWidth="1"/>
  </cols>
  <sheetData>
    <row r="3" spans="1:2" x14ac:dyDescent="0.3">
      <c r="A3" s="5" t="s">
        <v>18</v>
      </c>
      <c r="B3" t="s">
        <v>20</v>
      </c>
    </row>
    <row r="4" spans="1:2" x14ac:dyDescent="0.3">
      <c r="A4" s="6" t="s">
        <v>31</v>
      </c>
      <c r="B4">
        <v>1002033</v>
      </c>
    </row>
    <row r="5" spans="1:2" x14ac:dyDescent="0.3">
      <c r="A5" s="6" t="s">
        <v>32</v>
      </c>
      <c r="B5">
        <v>897735</v>
      </c>
    </row>
    <row r="6" spans="1:2" x14ac:dyDescent="0.3">
      <c r="A6" s="6" t="s">
        <v>33</v>
      </c>
      <c r="B6">
        <v>945145</v>
      </c>
    </row>
    <row r="7" spans="1:2" x14ac:dyDescent="0.3">
      <c r="A7" s="6" t="s">
        <v>34</v>
      </c>
      <c r="B7">
        <v>866333</v>
      </c>
    </row>
    <row r="8" spans="1:2" x14ac:dyDescent="0.3">
      <c r="A8" s="6" t="s">
        <v>19</v>
      </c>
      <c r="B8">
        <v>3711246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4A2A6-5911-47E1-8323-216B870943A0}">
  <dimension ref="B1:L20"/>
  <sheetViews>
    <sheetView showGridLines="0" zoomScale="58" zoomScaleNormal="57" workbookViewId="0">
      <selection activeCell="AC7" sqref="AC7"/>
    </sheetView>
  </sheetViews>
  <sheetFormatPr defaultRowHeight="14.4" x14ac:dyDescent="0.3"/>
  <sheetData>
    <row r="1" spans="2:12" ht="14.4" customHeight="1" x14ac:dyDescent="0.3">
      <c r="B1" s="11" t="s">
        <v>35</v>
      </c>
      <c r="C1" s="11"/>
      <c r="D1" s="11"/>
      <c r="E1" s="11"/>
      <c r="F1" s="11"/>
      <c r="G1" s="11"/>
      <c r="H1" s="11"/>
    </row>
    <row r="2" spans="2:12" ht="14.4" customHeight="1" x14ac:dyDescent="0.3">
      <c r="B2" s="11"/>
      <c r="C2" s="11"/>
      <c r="D2" s="11"/>
      <c r="E2" s="11"/>
      <c r="F2" s="11"/>
      <c r="G2" s="11"/>
      <c r="H2" s="11"/>
    </row>
    <row r="4" spans="2:12" x14ac:dyDescent="0.3">
      <c r="B4" s="12" t="str">
        <f ca="1">"Total Sales"&amp;CHAR(10)&amp;TEXT(SUM(Dataset!G:G),"₹#,##0")</f>
        <v>Total Sales
₹35,19,667</v>
      </c>
      <c r="C4" s="12"/>
      <c r="D4" s="12"/>
      <c r="E4" s="12"/>
      <c r="F4" s="12"/>
      <c r="H4" s="13" t="str">
        <f ca="1">"Total Profit"&amp;CHAR(10)&amp;TEXT(SUM(Dataset!I:I),"₹#,##0")</f>
        <v>Total Profit
₹7,64,018</v>
      </c>
      <c r="I4" s="13"/>
      <c r="J4" s="13"/>
      <c r="K4" s="13"/>
      <c r="L4" s="13"/>
    </row>
    <row r="5" spans="2:12" x14ac:dyDescent="0.3">
      <c r="B5" s="12"/>
      <c r="C5" s="12"/>
      <c r="D5" s="12"/>
      <c r="E5" s="12"/>
      <c r="F5" s="12"/>
      <c r="H5" s="13"/>
      <c r="I5" s="13"/>
      <c r="J5" s="13"/>
      <c r="K5" s="13"/>
      <c r="L5" s="13"/>
    </row>
    <row r="6" spans="2:12" x14ac:dyDescent="0.3">
      <c r="B6" s="12"/>
      <c r="C6" s="12"/>
      <c r="D6" s="12"/>
      <c r="E6" s="12"/>
      <c r="F6" s="12"/>
      <c r="H6" s="13"/>
      <c r="I6" s="13"/>
      <c r="J6" s="13"/>
      <c r="K6" s="13"/>
      <c r="L6" s="13"/>
    </row>
    <row r="7" spans="2:12" x14ac:dyDescent="0.3">
      <c r="B7" s="12"/>
      <c r="C7" s="12"/>
      <c r="D7" s="12"/>
      <c r="E7" s="12"/>
      <c r="F7" s="12"/>
      <c r="H7" s="13"/>
      <c r="I7" s="13"/>
      <c r="J7" s="13"/>
      <c r="K7" s="13"/>
      <c r="L7" s="13"/>
    </row>
    <row r="8" spans="2:12" x14ac:dyDescent="0.3">
      <c r="B8" s="12"/>
      <c r="C8" s="12"/>
      <c r="D8" s="12"/>
      <c r="E8" s="12"/>
      <c r="F8" s="12"/>
      <c r="H8" s="13"/>
      <c r="I8" s="13"/>
      <c r="J8" s="13"/>
      <c r="K8" s="13"/>
      <c r="L8" s="13"/>
    </row>
    <row r="9" spans="2:12" x14ac:dyDescent="0.3">
      <c r="B9" s="12"/>
      <c r="C9" s="12"/>
      <c r="D9" s="12"/>
      <c r="E9" s="12"/>
      <c r="F9" s="12"/>
      <c r="H9" s="13"/>
      <c r="I9" s="13"/>
      <c r="J9" s="13"/>
      <c r="K9" s="13"/>
      <c r="L9" s="13"/>
    </row>
    <row r="10" spans="2:12" x14ac:dyDescent="0.3">
      <c r="B10" s="12"/>
      <c r="C10" s="12"/>
      <c r="D10" s="12"/>
      <c r="E10" s="12"/>
      <c r="F10" s="12"/>
      <c r="H10" s="13"/>
      <c r="I10" s="13"/>
      <c r="J10" s="13"/>
      <c r="K10" s="13"/>
      <c r="L10" s="13"/>
    </row>
    <row r="13" spans="2:12" x14ac:dyDescent="0.3">
      <c r="B13" s="9" t="str">
        <f ca="1">"Average Sales"&amp;CHAR(10)&amp;TEXT(AVERAGE(Dataset!G:G), "₹#,##0")</f>
        <v>Average Sales
₹29,331</v>
      </c>
      <c r="C13" s="9"/>
      <c r="D13" s="9"/>
      <c r="E13" s="9"/>
      <c r="F13" s="9"/>
      <c r="H13" s="10" t="str">
        <f ca="1">"TotalOrders"&amp;CHAR(10)&amp;COUNT(Dataset!G:G)</f>
        <v>TotalOrders
120</v>
      </c>
      <c r="I13" s="10"/>
      <c r="J13" s="10"/>
      <c r="K13" s="10"/>
      <c r="L13" s="10"/>
    </row>
    <row r="14" spans="2:12" x14ac:dyDescent="0.3">
      <c r="B14" s="9"/>
      <c r="C14" s="9"/>
      <c r="D14" s="9"/>
      <c r="E14" s="9"/>
      <c r="F14" s="9"/>
      <c r="H14" s="10"/>
      <c r="I14" s="10"/>
      <c r="J14" s="10"/>
      <c r="K14" s="10"/>
      <c r="L14" s="10"/>
    </row>
    <row r="15" spans="2:12" x14ac:dyDescent="0.3">
      <c r="B15" s="9"/>
      <c r="C15" s="9"/>
      <c r="D15" s="9"/>
      <c r="E15" s="9"/>
      <c r="F15" s="9"/>
      <c r="H15" s="10"/>
      <c r="I15" s="10"/>
      <c r="J15" s="10"/>
      <c r="K15" s="10"/>
      <c r="L15" s="10"/>
    </row>
    <row r="16" spans="2:12" x14ac:dyDescent="0.3">
      <c r="B16" s="9"/>
      <c r="C16" s="9"/>
      <c r="D16" s="9"/>
      <c r="E16" s="9"/>
      <c r="F16" s="9"/>
      <c r="H16" s="10"/>
      <c r="I16" s="10"/>
      <c r="J16" s="10"/>
      <c r="K16" s="10"/>
      <c r="L16" s="10"/>
    </row>
    <row r="17" spans="2:12" x14ac:dyDescent="0.3">
      <c r="B17" s="9"/>
      <c r="C17" s="9"/>
      <c r="D17" s="9"/>
      <c r="E17" s="9"/>
      <c r="F17" s="9"/>
      <c r="H17" s="10"/>
      <c r="I17" s="10"/>
      <c r="J17" s="10"/>
      <c r="K17" s="10"/>
      <c r="L17" s="10"/>
    </row>
    <row r="18" spans="2:12" x14ac:dyDescent="0.3">
      <c r="B18" s="9"/>
      <c r="C18" s="9"/>
      <c r="D18" s="9"/>
      <c r="E18" s="9"/>
      <c r="F18" s="9"/>
      <c r="H18" s="10"/>
      <c r="I18" s="10"/>
      <c r="J18" s="10"/>
      <c r="K18" s="10"/>
      <c r="L18" s="10"/>
    </row>
    <row r="19" spans="2:12" x14ac:dyDescent="0.3">
      <c r="B19" s="9"/>
      <c r="C19" s="9"/>
      <c r="D19" s="9"/>
      <c r="E19" s="9"/>
      <c r="F19" s="9"/>
      <c r="H19" s="10"/>
      <c r="I19" s="10"/>
      <c r="J19" s="10"/>
      <c r="K19" s="10"/>
      <c r="L19" s="10"/>
    </row>
    <row r="20" spans="2:12" x14ac:dyDescent="0.3">
      <c r="H20" s="10"/>
      <c r="I20" s="10"/>
      <c r="J20" s="10"/>
      <c r="K20" s="10"/>
      <c r="L20" s="10"/>
    </row>
  </sheetData>
  <mergeCells count="5">
    <mergeCell ref="B13:F19"/>
    <mergeCell ref="H13:L20"/>
    <mergeCell ref="B1:H2"/>
    <mergeCell ref="B4:F10"/>
    <mergeCell ref="H4:L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D97A-B7E2-499B-86A4-B7DEF2F3C970}">
  <dimension ref="A1:N121"/>
  <sheetViews>
    <sheetView zoomScale="130" zoomScaleNormal="126" workbookViewId="0">
      <selection activeCell="K2" sqref="K2:N6"/>
    </sheetView>
  </sheetViews>
  <sheetFormatPr defaultRowHeight="14.4" x14ac:dyDescent="0.3"/>
  <cols>
    <col min="1" max="1" width="14.88671875" customWidth="1"/>
    <col min="2" max="2" width="11" customWidth="1"/>
    <col min="3" max="3" width="11.6640625" customWidth="1"/>
    <col min="4" max="4" width="16.33203125" customWidth="1"/>
    <col min="5" max="5" width="12.5546875" customWidth="1"/>
    <col min="6" max="6" width="12.88671875" customWidth="1"/>
    <col min="7" max="7" width="10.88671875" customWidth="1"/>
    <col min="8" max="8" width="10.5546875" customWidth="1"/>
  </cols>
  <sheetData>
    <row r="1" spans="1:14" x14ac:dyDescent="0.3">
      <c r="A1" s="2" t="s">
        <v>22</v>
      </c>
      <c r="B1" s="2" t="s">
        <v>2</v>
      </c>
      <c r="C1" s="2" t="s">
        <v>1</v>
      </c>
      <c r="D1" s="2" t="s">
        <v>23</v>
      </c>
      <c r="E1" s="2" t="s">
        <v>3</v>
      </c>
      <c r="F1" s="2" t="s">
        <v>24</v>
      </c>
      <c r="G1" s="2" t="s">
        <v>4</v>
      </c>
      <c r="H1" s="2" t="s">
        <v>25</v>
      </c>
      <c r="I1" s="2" t="s">
        <v>26</v>
      </c>
    </row>
    <row r="2" spans="1:14" x14ac:dyDescent="0.3">
      <c r="A2" s="7">
        <v>46023</v>
      </c>
      <c r="B2" s="1" t="s">
        <v>6</v>
      </c>
      <c r="C2" s="1" t="s">
        <v>5</v>
      </c>
      <c r="D2" s="1" t="s">
        <v>27</v>
      </c>
      <c r="E2" s="1" t="s">
        <v>7</v>
      </c>
      <c r="F2" s="1">
        <f ca="1">RANDBETWEEN(1,10)</f>
        <v>6</v>
      </c>
      <c r="G2" s="1">
        <f ca="1">RANDBETWEEN(10000,50000)</f>
        <v>12695</v>
      </c>
      <c r="H2" s="1">
        <f ca="1">RANDBETWEEN(5000,40000)</f>
        <v>37341</v>
      </c>
      <c r="I2" s="1">
        <f ca="1">G2-H2</f>
        <v>-24646</v>
      </c>
      <c r="K2" s="14" t="str">
        <f ca="1">"Total Sales"&amp;CHAR(10)&amp;TEXT(SUM(G:G),"₹#,##0")</f>
        <v>Total Sales
₹35,19,667</v>
      </c>
      <c r="L2" s="14"/>
      <c r="M2" s="14"/>
      <c r="N2" s="14"/>
    </row>
    <row r="3" spans="1:14" x14ac:dyDescent="0.3">
      <c r="A3" s="7">
        <v>46024</v>
      </c>
      <c r="B3" s="1" t="s">
        <v>9</v>
      </c>
      <c r="C3" s="1" t="s">
        <v>8</v>
      </c>
      <c r="D3" s="1" t="s">
        <v>28</v>
      </c>
      <c r="E3" s="1" t="s">
        <v>10</v>
      </c>
      <c r="F3" s="1">
        <f t="shared" ref="F3:F66" ca="1" si="0">RANDBETWEEN(1,10)</f>
        <v>2</v>
      </c>
      <c r="G3" s="1">
        <f t="shared" ref="G3:G66" ca="1" si="1">RANDBETWEEN(10000,50000)</f>
        <v>14569</v>
      </c>
      <c r="H3" s="1">
        <f t="shared" ref="H3:H66" ca="1" si="2">RANDBETWEEN(5000,40000)</f>
        <v>17040</v>
      </c>
      <c r="I3" s="1">
        <f t="shared" ref="I3:I66" ca="1" si="3">G3-H3</f>
        <v>-2471</v>
      </c>
      <c r="K3" s="14"/>
      <c r="L3" s="14"/>
      <c r="M3" s="14"/>
      <c r="N3" s="14"/>
    </row>
    <row r="4" spans="1:14" x14ac:dyDescent="0.3">
      <c r="A4" s="7">
        <v>46025</v>
      </c>
      <c r="B4" s="1" t="s">
        <v>12</v>
      </c>
      <c r="C4" s="1" t="s">
        <v>11</v>
      </c>
      <c r="D4" s="1" t="s">
        <v>28</v>
      </c>
      <c r="E4" s="1" t="s">
        <v>13</v>
      </c>
      <c r="F4" s="1">
        <f t="shared" ca="1" si="0"/>
        <v>9</v>
      </c>
      <c r="G4" s="1">
        <f t="shared" ca="1" si="1"/>
        <v>35104</v>
      </c>
      <c r="H4" s="1">
        <f t="shared" ca="1" si="2"/>
        <v>12819</v>
      </c>
      <c r="I4" s="1">
        <f t="shared" ca="1" si="3"/>
        <v>22285</v>
      </c>
      <c r="K4" s="14"/>
      <c r="L4" s="14"/>
      <c r="M4" s="14"/>
      <c r="N4" s="14"/>
    </row>
    <row r="5" spans="1:14" x14ac:dyDescent="0.3">
      <c r="A5" s="7">
        <v>46026</v>
      </c>
      <c r="B5" s="1" t="s">
        <v>14</v>
      </c>
      <c r="C5" s="1" t="s">
        <v>5</v>
      </c>
      <c r="D5" s="1" t="s">
        <v>27</v>
      </c>
      <c r="E5" s="1" t="s">
        <v>15</v>
      </c>
      <c r="F5" s="1">
        <f t="shared" ca="1" si="0"/>
        <v>4</v>
      </c>
      <c r="G5" s="1">
        <f t="shared" ca="1" si="1"/>
        <v>38112</v>
      </c>
      <c r="H5" s="1">
        <f t="shared" ca="1" si="2"/>
        <v>20829</v>
      </c>
      <c r="I5" s="1">
        <f t="shared" ca="1" si="3"/>
        <v>17283</v>
      </c>
      <c r="K5" s="14"/>
      <c r="L5" s="14"/>
      <c r="M5" s="14"/>
      <c r="N5" s="14"/>
    </row>
    <row r="6" spans="1:14" x14ac:dyDescent="0.3">
      <c r="A6" s="7">
        <v>46027</v>
      </c>
      <c r="B6" s="1" t="s">
        <v>6</v>
      </c>
      <c r="C6" s="1" t="s">
        <v>16</v>
      </c>
      <c r="D6" s="1" t="s">
        <v>27</v>
      </c>
      <c r="E6" s="1" t="s">
        <v>17</v>
      </c>
      <c r="F6" s="1">
        <f t="shared" ca="1" si="0"/>
        <v>2</v>
      </c>
      <c r="G6" s="1">
        <f t="shared" ca="1" si="1"/>
        <v>33783</v>
      </c>
      <c r="H6" s="1">
        <f t="shared" ca="1" si="2"/>
        <v>15031</v>
      </c>
      <c r="I6" s="1">
        <f t="shared" ca="1" si="3"/>
        <v>18752</v>
      </c>
      <c r="K6" s="14"/>
      <c r="L6" s="14"/>
      <c r="M6" s="14"/>
      <c r="N6" s="14"/>
    </row>
    <row r="7" spans="1:14" x14ac:dyDescent="0.3">
      <c r="A7" s="7">
        <v>46028</v>
      </c>
      <c r="B7" s="1" t="s">
        <v>9</v>
      </c>
      <c r="C7" s="1" t="s">
        <v>8</v>
      </c>
      <c r="D7" s="1" t="s">
        <v>28</v>
      </c>
      <c r="E7" s="1" t="s">
        <v>7</v>
      </c>
      <c r="F7" s="1">
        <f t="shared" ca="1" si="0"/>
        <v>1</v>
      </c>
      <c r="G7" s="1">
        <f t="shared" ca="1" si="1"/>
        <v>49653</v>
      </c>
      <c r="H7" s="1">
        <f t="shared" ca="1" si="2"/>
        <v>22383</v>
      </c>
      <c r="I7" s="1">
        <f t="shared" ca="1" si="3"/>
        <v>27270</v>
      </c>
    </row>
    <row r="8" spans="1:14" x14ac:dyDescent="0.3">
      <c r="A8" s="7">
        <v>46029</v>
      </c>
      <c r="B8" s="1" t="s">
        <v>12</v>
      </c>
      <c r="C8" s="1" t="s">
        <v>5</v>
      </c>
      <c r="D8" s="1" t="s">
        <v>27</v>
      </c>
      <c r="E8" s="1" t="s">
        <v>10</v>
      </c>
      <c r="F8" s="1">
        <f t="shared" ca="1" si="0"/>
        <v>6</v>
      </c>
      <c r="G8" s="1">
        <f t="shared" ca="1" si="1"/>
        <v>23691</v>
      </c>
      <c r="H8" s="1">
        <f t="shared" ca="1" si="2"/>
        <v>9396</v>
      </c>
      <c r="I8" s="1">
        <f t="shared" ca="1" si="3"/>
        <v>14295</v>
      </c>
    </row>
    <row r="9" spans="1:14" x14ac:dyDescent="0.3">
      <c r="A9" s="7">
        <v>46030</v>
      </c>
      <c r="B9" s="1" t="s">
        <v>14</v>
      </c>
      <c r="C9" s="1" t="s">
        <v>11</v>
      </c>
      <c r="D9" s="1" t="s">
        <v>28</v>
      </c>
      <c r="E9" s="1" t="s">
        <v>13</v>
      </c>
      <c r="F9" s="1">
        <f t="shared" ca="1" si="0"/>
        <v>1</v>
      </c>
      <c r="G9" s="1">
        <f t="shared" ca="1" si="1"/>
        <v>47283</v>
      </c>
      <c r="H9" s="1">
        <f t="shared" ca="1" si="2"/>
        <v>25590</v>
      </c>
      <c r="I9" s="1">
        <f t="shared" ca="1" si="3"/>
        <v>21693</v>
      </c>
    </row>
    <row r="10" spans="1:14" x14ac:dyDescent="0.3">
      <c r="A10" s="7">
        <v>46031</v>
      </c>
      <c r="B10" s="1" t="s">
        <v>6</v>
      </c>
      <c r="C10" s="1" t="s">
        <v>16</v>
      </c>
      <c r="D10" s="1" t="s">
        <v>27</v>
      </c>
      <c r="E10" s="1" t="s">
        <v>15</v>
      </c>
      <c r="F10" s="1">
        <f t="shared" ca="1" si="0"/>
        <v>3</v>
      </c>
      <c r="G10" s="1">
        <f t="shared" ca="1" si="1"/>
        <v>46450</v>
      </c>
      <c r="H10" s="1">
        <f t="shared" ca="1" si="2"/>
        <v>28690</v>
      </c>
      <c r="I10" s="1">
        <f t="shared" ca="1" si="3"/>
        <v>17760</v>
      </c>
      <c r="K10" s="15" t="str">
        <f ca="1">"Average Sales"&amp;CHAR(10)&amp;TEXT(AVERAGE(G:G), "₹#,##0")</f>
        <v>Average Sales
₹29,331</v>
      </c>
      <c r="L10" s="15"/>
      <c r="M10" s="15"/>
      <c r="N10" s="15"/>
    </row>
    <row r="11" spans="1:14" x14ac:dyDescent="0.3">
      <c r="A11" s="7">
        <v>46032</v>
      </c>
      <c r="B11" s="1" t="s">
        <v>9</v>
      </c>
      <c r="C11" s="1" t="s">
        <v>5</v>
      </c>
      <c r="D11" s="1" t="s">
        <v>27</v>
      </c>
      <c r="E11" s="1" t="s">
        <v>17</v>
      </c>
      <c r="F11" s="1">
        <f t="shared" ca="1" si="0"/>
        <v>8</v>
      </c>
      <c r="G11" s="1">
        <f t="shared" ca="1" si="1"/>
        <v>13214</v>
      </c>
      <c r="H11" s="1">
        <f t="shared" ca="1" si="2"/>
        <v>30738</v>
      </c>
      <c r="I11" s="1">
        <f t="shared" ca="1" si="3"/>
        <v>-17524</v>
      </c>
      <c r="K11" s="15"/>
      <c r="L11" s="15"/>
      <c r="M11" s="15"/>
      <c r="N11" s="15"/>
    </row>
    <row r="12" spans="1:14" x14ac:dyDescent="0.3">
      <c r="A12" s="7">
        <v>46033</v>
      </c>
      <c r="B12" s="1" t="s">
        <v>12</v>
      </c>
      <c r="C12" s="1" t="s">
        <v>8</v>
      </c>
      <c r="D12" s="1" t="s">
        <v>28</v>
      </c>
      <c r="E12" s="1" t="s">
        <v>7</v>
      </c>
      <c r="F12" s="1">
        <f t="shared" ca="1" si="0"/>
        <v>9</v>
      </c>
      <c r="G12" s="1">
        <f t="shared" ca="1" si="1"/>
        <v>17712</v>
      </c>
      <c r="H12" s="1">
        <f t="shared" ca="1" si="2"/>
        <v>13204</v>
      </c>
      <c r="I12" s="1">
        <f t="shared" ca="1" si="3"/>
        <v>4508</v>
      </c>
      <c r="K12" s="15"/>
      <c r="L12" s="15"/>
      <c r="M12" s="15"/>
      <c r="N12" s="15"/>
    </row>
    <row r="13" spans="1:14" x14ac:dyDescent="0.3">
      <c r="A13" s="7">
        <v>46034</v>
      </c>
      <c r="B13" s="1" t="s">
        <v>14</v>
      </c>
      <c r="C13" s="1" t="s">
        <v>16</v>
      </c>
      <c r="D13" s="1" t="s">
        <v>27</v>
      </c>
      <c r="E13" s="1" t="s">
        <v>10</v>
      </c>
      <c r="F13" s="1">
        <f t="shared" ca="1" si="0"/>
        <v>2</v>
      </c>
      <c r="G13" s="1">
        <f t="shared" ca="1" si="1"/>
        <v>13848</v>
      </c>
      <c r="H13" s="1">
        <f t="shared" ca="1" si="2"/>
        <v>28937</v>
      </c>
      <c r="I13" s="1">
        <f t="shared" ca="1" si="3"/>
        <v>-15089</v>
      </c>
      <c r="K13" s="15"/>
      <c r="L13" s="15"/>
      <c r="M13" s="15"/>
      <c r="N13" s="15"/>
    </row>
    <row r="14" spans="1:14" x14ac:dyDescent="0.3">
      <c r="A14" s="7">
        <v>46035</v>
      </c>
      <c r="B14" s="1" t="s">
        <v>6</v>
      </c>
      <c r="C14" s="1" t="s">
        <v>11</v>
      </c>
      <c r="D14" s="1" t="s">
        <v>28</v>
      </c>
      <c r="E14" s="1" t="s">
        <v>13</v>
      </c>
      <c r="F14" s="1">
        <f t="shared" ca="1" si="0"/>
        <v>3</v>
      </c>
      <c r="G14" s="1">
        <f t="shared" ca="1" si="1"/>
        <v>44023</v>
      </c>
      <c r="H14" s="1">
        <f t="shared" ca="1" si="2"/>
        <v>10631</v>
      </c>
      <c r="I14" s="1">
        <f t="shared" ca="1" si="3"/>
        <v>33392</v>
      </c>
      <c r="K14" s="15"/>
      <c r="L14" s="15"/>
      <c r="M14" s="15"/>
      <c r="N14" s="15"/>
    </row>
    <row r="15" spans="1:14" x14ac:dyDescent="0.3">
      <c r="A15" s="7">
        <v>46036</v>
      </c>
      <c r="B15" s="1" t="s">
        <v>9</v>
      </c>
      <c r="C15" s="1" t="s">
        <v>5</v>
      </c>
      <c r="D15" s="1" t="s">
        <v>27</v>
      </c>
      <c r="E15" s="1" t="s">
        <v>15</v>
      </c>
      <c r="F15" s="1">
        <f t="shared" ca="1" si="0"/>
        <v>1</v>
      </c>
      <c r="G15" s="1">
        <f t="shared" ca="1" si="1"/>
        <v>38506</v>
      </c>
      <c r="H15" s="1">
        <f t="shared" ca="1" si="2"/>
        <v>6991</v>
      </c>
      <c r="I15" s="1">
        <f t="shared" ca="1" si="3"/>
        <v>31515</v>
      </c>
      <c r="K15" s="15"/>
      <c r="L15" s="15"/>
      <c r="M15" s="15"/>
      <c r="N15" s="15"/>
    </row>
    <row r="16" spans="1:14" x14ac:dyDescent="0.3">
      <c r="A16" s="7">
        <v>46037</v>
      </c>
      <c r="B16" s="1" t="s">
        <v>12</v>
      </c>
      <c r="C16" s="1" t="s">
        <v>16</v>
      </c>
      <c r="D16" s="1" t="s">
        <v>27</v>
      </c>
      <c r="E16" s="1" t="s">
        <v>17</v>
      </c>
      <c r="F16" s="1">
        <f t="shared" ca="1" si="0"/>
        <v>4</v>
      </c>
      <c r="G16" s="1">
        <f t="shared" ca="1" si="1"/>
        <v>24568</v>
      </c>
      <c r="H16" s="1">
        <f t="shared" ca="1" si="2"/>
        <v>29982</v>
      </c>
      <c r="I16" s="1">
        <f t="shared" ca="1" si="3"/>
        <v>-5414</v>
      </c>
    </row>
    <row r="17" spans="1:14" x14ac:dyDescent="0.3">
      <c r="A17" s="7">
        <v>46038</v>
      </c>
      <c r="B17" s="1" t="s">
        <v>6</v>
      </c>
      <c r="C17" s="1" t="s">
        <v>5</v>
      </c>
      <c r="D17" s="1" t="s">
        <v>27</v>
      </c>
      <c r="E17" s="1" t="s">
        <v>7</v>
      </c>
      <c r="F17" s="1">
        <f t="shared" ca="1" si="0"/>
        <v>4</v>
      </c>
      <c r="G17" s="1">
        <f t="shared" ca="1" si="1"/>
        <v>13921</v>
      </c>
      <c r="H17" s="1">
        <f t="shared" ca="1" si="2"/>
        <v>5330</v>
      </c>
      <c r="I17" s="1">
        <f t="shared" ca="1" si="3"/>
        <v>8591</v>
      </c>
    </row>
    <row r="18" spans="1:14" x14ac:dyDescent="0.3">
      <c r="A18" s="7">
        <v>46039</v>
      </c>
      <c r="B18" s="1" t="s">
        <v>9</v>
      </c>
      <c r="C18" s="1" t="s">
        <v>8</v>
      </c>
      <c r="D18" s="1" t="s">
        <v>28</v>
      </c>
      <c r="E18" s="1" t="s">
        <v>10</v>
      </c>
      <c r="F18" s="1">
        <f t="shared" ca="1" si="0"/>
        <v>1</v>
      </c>
      <c r="G18" s="1">
        <f t="shared" ca="1" si="1"/>
        <v>48601</v>
      </c>
      <c r="H18" s="1">
        <f t="shared" ca="1" si="2"/>
        <v>7447</v>
      </c>
      <c r="I18" s="1">
        <f t="shared" ca="1" si="3"/>
        <v>41154</v>
      </c>
      <c r="K18" s="16" t="str">
        <f ca="1">"Total Profit"&amp;CHAR(10)&amp;TEXT(SUM(I:I), "₹#,##0")</f>
        <v>Total Profit
₹7,64,018</v>
      </c>
      <c r="L18" s="16"/>
      <c r="M18" s="16"/>
      <c r="N18" s="16"/>
    </row>
    <row r="19" spans="1:14" x14ac:dyDescent="0.3">
      <c r="A19" s="7">
        <v>46040</v>
      </c>
      <c r="B19" s="1" t="s">
        <v>12</v>
      </c>
      <c r="C19" s="1" t="s">
        <v>11</v>
      </c>
      <c r="D19" s="1" t="s">
        <v>28</v>
      </c>
      <c r="E19" s="1" t="s">
        <v>13</v>
      </c>
      <c r="F19" s="1">
        <f t="shared" ca="1" si="0"/>
        <v>10</v>
      </c>
      <c r="G19" s="1">
        <f t="shared" ca="1" si="1"/>
        <v>25621</v>
      </c>
      <c r="H19" s="1">
        <f t="shared" ca="1" si="2"/>
        <v>10787</v>
      </c>
      <c r="I19" s="1">
        <f t="shared" ca="1" si="3"/>
        <v>14834</v>
      </c>
      <c r="K19" s="16"/>
      <c r="L19" s="16"/>
      <c r="M19" s="16"/>
      <c r="N19" s="16"/>
    </row>
    <row r="20" spans="1:14" x14ac:dyDescent="0.3">
      <c r="A20" s="7">
        <v>46041</v>
      </c>
      <c r="B20" s="1" t="s">
        <v>14</v>
      </c>
      <c r="C20" s="1" t="s">
        <v>5</v>
      </c>
      <c r="D20" s="1" t="s">
        <v>27</v>
      </c>
      <c r="E20" s="1" t="s">
        <v>15</v>
      </c>
      <c r="F20" s="1">
        <f t="shared" ca="1" si="0"/>
        <v>8</v>
      </c>
      <c r="G20" s="1">
        <f t="shared" ca="1" si="1"/>
        <v>10019</v>
      </c>
      <c r="H20" s="1">
        <f t="shared" ca="1" si="2"/>
        <v>9356</v>
      </c>
      <c r="I20" s="1">
        <f t="shared" ca="1" si="3"/>
        <v>663</v>
      </c>
      <c r="K20" s="16"/>
      <c r="L20" s="16"/>
      <c r="M20" s="16"/>
      <c r="N20" s="16"/>
    </row>
    <row r="21" spans="1:14" x14ac:dyDescent="0.3">
      <c r="A21" s="7">
        <v>46042</v>
      </c>
      <c r="B21" s="1" t="s">
        <v>6</v>
      </c>
      <c r="C21" s="1" t="s">
        <v>16</v>
      </c>
      <c r="D21" s="1" t="s">
        <v>27</v>
      </c>
      <c r="E21" s="1" t="s">
        <v>17</v>
      </c>
      <c r="F21" s="1">
        <f t="shared" ca="1" si="0"/>
        <v>3</v>
      </c>
      <c r="G21" s="1">
        <f t="shared" ca="1" si="1"/>
        <v>47403</v>
      </c>
      <c r="H21" s="1">
        <f t="shared" ca="1" si="2"/>
        <v>8320</v>
      </c>
      <c r="I21" s="1">
        <f t="shared" ca="1" si="3"/>
        <v>39083</v>
      </c>
      <c r="K21" s="16"/>
      <c r="L21" s="16"/>
      <c r="M21" s="16"/>
      <c r="N21" s="16"/>
    </row>
    <row r="22" spans="1:14" x14ac:dyDescent="0.3">
      <c r="A22" s="7">
        <v>46043</v>
      </c>
      <c r="B22" s="1" t="s">
        <v>9</v>
      </c>
      <c r="C22" s="1" t="s">
        <v>8</v>
      </c>
      <c r="D22" s="1" t="s">
        <v>28</v>
      </c>
      <c r="E22" s="1" t="s">
        <v>7</v>
      </c>
      <c r="F22" s="1">
        <f t="shared" ca="1" si="0"/>
        <v>10</v>
      </c>
      <c r="G22" s="1">
        <f t="shared" ca="1" si="1"/>
        <v>21883</v>
      </c>
      <c r="H22" s="1">
        <f t="shared" ca="1" si="2"/>
        <v>19217</v>
      </c>
      <c r="I22" s="1">
        <f t="shared" ca="1" si="3"/>
        <v>2666</v>
      </c>
      <c r="K22" s="16"/>
      <c r="L22" s="16"/>
      <c r="M22" s="16"/>
      <c r="N22" s="16"/>
    </row>
    <row r="23" spans="1:14" x14ac:dyDescent="0.3">
      <c r="A23" s="7">
        <v>46044</v>
      </c>
      <c r="B23" s="1" t="s">
        <v>12</v>
      </c>
      <c r="C23" s="1" t="s">
        <v>5</v>
      </c>
      <c r="D23" s="1" t="s">
        <v>27</v>
      </c>
      <c r="E23" s="1" t="s">
        <v>10</v>
      </c>
      <c r="F23" s="1">
        <f t="shared" ca="1" si="0"/>
        <v>5</v>
      </c>
      <c r="G23" s="1">
        <f t="shared" ca="1" si="1"/>
        <v>17332</v>
      </c>
      <c r="H23" s="1">
        <f t="shared" ca="1" si="2"/>
        <v>20663</v>
      </c>
      <c r="I23" s="1">
        <f t="shared" ca="1" si="3"/>
        <v>-3331</v>
      </c>
      <c r="K23" s="16"/>
      <c r="L23" s="16"/>
      <c r="M23" s="16"/>
      <c r="N23" s="16"/>
    </row>
    <row r="24" spans="1:14" x14ac:dyDescent="0.3">
      <c r="A24" s="7">
        <v>46045</v>
      </c>
      <c r="B24" s="1" t="s">
        <v>14</v>
      </c>
      <c r="C24" s="1" t="s">
        <v>11</v>
      </c>
      <c r="D24" s="1" t="s">
        <v>28</v>
      </c>
      <c r="E24" s="1" t="s">
        <v>13</v>
      </c>
      <c r="F24" s="1">
        <f t="shared" ca="1" si="0"/>
        <v>6</v>
      </c>
      <c r="G24" s="1">
        <f t="shared" ca="1" si="1"/>
        <v>23858</v>
      </c>
      <c r="H24" s="1">
        <f t="shared" ca="1" si="2"/>
        <v>14513</v>
      </c>
      <c r="I24" s="1">
        <f t="shared" ca="1" si="3"/>
        <v>9345</v>
      </c>
    </row>
    <row r="25" spans="1:14" x14ac:dyDescent="0.3">
      <c r="A25" s="7">
        <v>46046</v>
      </c>
      <c r="B25" s="1" t="s">
        <v>6</v>
      </c>
      <c r="C25" s="1" t="s">
        <v>16</v>
      </c>
      <c r="D25" s="1" t="s">
        <v>27</v>
      </c>
      <c r="E25" s="1" t="s">
        <v>15</v>
      </c>
      <c r="F25" s="1">
        <f t="shared" ca="1" si="0"/>
        <v>7</v>
      </c>
      <c r="G25" s="1">
        <f t="shared" ca="1" si="1"/>
        <v>24283</v>
      </c>
      <c r="H25" s="1">
        <f t="shared" ca="1" si="2"/>
        <v>9984</v>
      </c>
      <c r="I25" s="1">
        <f t="shared" ca="1" si="3"/>
        <v>14299</v>
      </c>
    </row>
    <row r="26" spans="1:14" x14ac:dyDescent="0.3">
      <c r="A26" s="7">
        <v>46047</v>
      </c>
      <c r="B26" s="1" t="s">
        <v>9</v>
      </c>
      <c r="C26" s="1" t="s">
        <v>5</v>
      </c>
      <c r="D26" s="1" t="s">
        <v>27</v>
      </c>
      <c r="E26" s="1" t="s">
        <v>17</v>
      </c>
      <c r="F26" s="1">
        <f t="shared" ca="1" si="0"/>
        <v>4</v>
      </c>
      <c r="G26" s="1">
        <f t="shared" ca="1" si="1"/>
        <v>15086</v>
      </c>
      <c r="H26" s="1">
        <f t="shared" ca="1" si="2"/>
        <v>27983</v>
      </c>
      <c r="I26" s="1">
        <f t="shared" ca="1" si="3"/>
        <v>-12897</v>
      </c>
      <c r="K26" s="17" t="str">
        <f ca="1">"Total Orders"&amp;CHAR(10)&amp;COUNT(G:G)</f>
        <v>Total Orders
120</v>
      </c>
      <c r="L26" s="17"/>
      <c r="M26" s="17"/>
      <c r="N26" s="17"/>
    </row>
    <row r="27" spans="1:14" x14ac:dyDescent="0.3">
      <c r="A27" s="7">
        <v>46048</v>
      </c>
      <c r="B27" s="1" t="s">
        <v>12</v>
      </c>
      <c r="C27" s="1" t="s">
        <v>8</v>
      </c>
      <c r="D27" s="1" t="s">
        <v>28</v>
      </c>
      <c r="E27" s="1" t="s">
        <v>7</v>
      </c>
      <c r="F27" s="1">
        <f t="shared" ca="1" si="0"/>
        <v>4</v>
      </c>
      <c r="G27" s="1">
        <f t="shared" ca="1" si="1"/>
        <v>22643</v>
      </c>
      <c r="H27" s="1">
        <f t="shared" ca="1" si="2"/>
        <v>6846</v>
      </c>
      <c r="I27" s="1">
        <f t="shared" ca="1" si="3"/>
        <v>15797</v>
      </c>
      <c r="K27" s="17"/>
      <c r="L27" s="17"/>
      <c r="M27" s="17"/>
      <c r="N27" s="17"/>
    </row>
    <row r="28" spans="1:14" x14ac:dyDescent="0.3">
      <c r="A28" s="7">
        <v>46049</v>
      </c>
      <c r="B28" s="1" t="s">
        <v>14</v>
      </c>
      <c r="C28" s="1" t="s">
        <v>16</v>
      </c>
      <c r="D28" s="1" t="s">
        <v>27</v>
      </c>
      <c r="E28" s="1" t="s">
        <v>10</v>
      </c>
      <c r="F28" s="1">
        <f t="shared" ca="1" si="0"/>
        <v>6</v>
      </c>
      <c r="G28" s="1">
        <f t="shared" ca="1" si="1"/>
        <v>45296</v>
      </c>
      <c r="H28" s="1">
        <f t="shared" ca="1" si="2"/>
        <v>28926</v>
      </c>
      <c r="I28" s="1">
        <f t="shared" ca="1" si="3"/>
        <v>16370</v>
      </c>
      <c r="K28" s="17"/>
      <c r="L28" s="17"/>
      <c r="M28" s="17"/>
      <c r="N28" s="17"/>
    </row>
    <row r="29" spans="1:14" x14ac:dyDescent="0.3">
      <c r="A29" s="7">
        <v>46050</v>
      </c>
      <c r="B29" s="1" t="s">
        <v>6</v>
      </c>
      <c r="C29" s="1" t="s">
        <v>11</v>
      </c>
      <c r="D29" s="1" t="s">
        <v>28</v>
      </c>
      <c r="E29" s="1" t="s">
        <v>13</v>
      </c>
      <c r="F29" s="1">
        <f t="shared" ca="1" si="0"/>
        <v>3</v>
      </c>
      <c r="G29" s="1">
        <f t="shared" ca="1" si="1"/>
        <v>33133</v>
      </c>
      <c r="H29" s="1">
        <f t="shared" ca="1" si="2"/>
        <v>38599</v>
      </c>
      <c r="I29" s="1">
        <f t="shared" ca="1" si="3"/>
        <v>-5466</v>
      </c>
      <c r="K29" s="17"/>
      <c r="L29" s="17"/>
      <c r="M29" s="17"/>
      <c r="N29" s="17"/>
    </row>
    <row r="30" spans="1:14" x14ac:dyDescent="0.3">
      <c r="A30" s="7">
        <v>46051</v>
      </c>
      <c r="B30" s="1" t="s">
        <v>9</v>
      </c>
      <c r="C30" s="1" t="s">
        <v>5</v>
      </c>
      <c r="D30" s="1" t="s">
        <v>27</v>
      </c>
      <c r="E30" s="1" t="s">
        <v>15</v>
      </c>
      <c r="F30" s="1">
        <f t="shared" ca="1" si="0"/>
        <v>6</v>
      </c>
      <c r="G30" s="1">
        <f t="shared" ca="1" si="1"/>
        <v>15207</v>
      </c>
      <c r="H30" s="1">
        <f t="shared" ca="1" si="2"/>
        <v>28128</v>
      </c>
      <c r="I30" s="1">
        <f t="shared" ca="1" si="3"/>
        <v>-12921</v>
      </c>
      <c r="K30" s="17"/>
      <c r="L30" s="17"/>
      <c r="M30" s="17"/>
      <c r="N30" s="17"/>
    </row>
    <row r="31" spans="1:14" x14ac:dyDescent="0.3">
      <c r="A31" s="7">
        <v>46052</v>
      </c>
      <c r="B31" s="1" t="s">
        <v>12</v>
      </c>
      <c r="C31" s="1" t="s">
        <v>16</v>
      </c>
      <c r="D31" s="1" t="s">
        <v>27</v>
      </c>
      <c r="E31" s="1" t="s">
        <v>17</v>
      </c>
      <c r="F31" s="1">
        <f t="shared" ca="1" si="0"/>
        <v>6</v>
      </c>
      <c r="G31" s="1">
        <f t="shared" ca="1" si="1"/>
        <v>27877</v>
      </c>
      <c r="H31" s="1">
        <f t="shared" ca="1" si="2"/>
        <v>18097</v>
      </c>
      <c r="I31" s="1">
        <f t="shared" ca="1" si="3"/>
        <v>9780</v>
      </c>
      <c r="K31" s="17"/>
      <c r="L31" s="17"/>
      <c r="M31" s="17"/>
      <c r="N31" s="17"/>
    </row>
    <row r="32" spans="1:14" x14ac:dyDescent="0.3">
      <c r="A32" s="7">
        <v>46053</v>
      </c>
      <c r="B32" s="1" t="s">
        <v>6</v>
      </c>
      <c r="C32" s="1" t="s">
        <v>5</v>
      </c>
      <c r="D32" s="1" t="s">
        <v>27</v>
      </c>
      <c r="E32" s="1" t="s">
        <v>7</v>
      </c>
      <c r="F32" s="1">
        <f t="shared" ca="1" si="0"/>
        <v>2</v>
      </c>
      <c r="G32" s="1">
        <f t="shared" ca="1" si="1"/>
        <v>37140</v>
      </c>
      <c r="H32" s="1">
        <f t="shared" ca="1" si="2"/>
        <v>26550</v>
      </c>
      <c r="I32" s="1">
        <f t="shared" ca="1" si="3"/>
        <v>10590</v>
      </c>
    </row>
    <row r="33" spans="1:9" x14ac:dyDescent="0.3">
      <c r="A33" s="7">
        <v>46054</v>
      </c>
      <c r="B33" s="1" t="s">
        <v>9</v>
      </c>
      <c r="C33" s="1" t="s">
        <v>8</v>
      </c>
      <c r="D33" s="1" t="s">
        <v>28</v>
      </c>
      <c r="E33" s="1" t="s">
        <v>10</v>
      </c>
      <c r="F33" s="1">
        <f t="shared" ca="1" si="0"/>
        <v>2</v>
      </c>
      <c r="G33" s="1">
        <f t="shared" ca="1" si="1"/>
        <v>45786</v>
      </c>
      <c r="H33" s="1">
        <f t="shared" ca="1" si="2"/>
        <v>18869</v>
      </c>
      <c r="I33" s="1">
        <f t="shared" ca="1" si="3"/>
        <v>26917</v>
      </c>
    </row>
    <row r="34" spans="1:9" x14ac:dyDescent="0.3">
      <c r="A34" s="7">
        <v>46055</v>
      </c>
      <c r="B34" s="1" t="s">
        <v>12</v>
      </c>
      <c r="C34" s="1" t="s">
        <v>11</v>
      </c>
      <c r="D34" s="1" t="s">
        <v>28</v>
      </c>
      <c r="E34" s="1" t="s">
        <v>13</v>
      </c>
      <c r="F34" s="1">
        <f t="shared" ca="1" si="0"/>
        <v>4</v>
      </c>
      <c r="G34" s="1">
        <f t="shared" ca="1" si="1"/>
        <v>22231</v>
      </c>
      <c r="H34" s="1">
        <f t="shared" ca="1" si="2"/>
        <v>37782</v>
      </c>
      <c r="I34" s="1">
        <f t="shared" ca="1" si="3"/>
        <v>-15551</v>
      </c>
    </row>
    <row r="35" spans="1:9" x14ac:dyDescent="0.3">
      <c r="A35" s="7">
        <v>46056</v>
      </c>
      <c r="B35" s="1" t="s">
        <v>14</v>
      </c>
      <c r="C35" s="1" t="s">
        <v>5</v>
      </c>
      <c r="D35" s="1" t="s">
        <v>27</v>
      </c>
      <c r="E35" s="1" t="s">
        <v>15</v>
      </c>
      <c r="F35" s="1">
        <f t="shared" ca="1" si="0"/>
        <v>7</v>
      </c>
      <c r="G35" s="1">
        <f t="shared" ca="1" si="1"/>
        <v>47108</v>
      </c>
      <c r="H35" s="1">
        <f t="shared" ca="1" si="2"/>
        <v>6612</v>
      </c>
      <c r="I35" s="1">
        <f t="shared" ca="1" si="3"/>
        <v>40496</v>
      </c>
    </row>
    <row r="36" spans="1:9" x14ac:dyDescent="0.3">
      <c r="A36" s="7">
        <v>46057</v>
      </c>
      <c r="B36" s="1" t="s">
        <v>6</v>
      </c>
      <c r="C36" s="1" t="s">
        <v>16</v>
      </c>
      <c r="D36" s="1" t="s">
        <v>27</v>
      </c>
      <c r="E36" s="1" t="s">
        <v>17</v>
      </c>
      <c r="F36" s="1">
        <f t="shared" ca="1" si="0"/>
        <v>10</v>
      </c>
      <c r="G36" s="1">
        <f t="shared" ca="1" si="1"/>
        <v>28918</v>
      </c>
      <c r="H36" s="1">
        <f t="shared" ca="1" si="2"/>
        <v>6583</v>
      </c>
      <c r="I36" s="1">
        <f t="shared" ca="1" si="3"/>
        <v>22335</v>
      </c>
    </row>
    <row r="37" spans="1:9" x14ac:dyDescent="0.3">
      <c r="A37" s="7">
        <v>46058</v>
      </c>
      <c r="B37" s="1" t="s">
        <v>9</v>
      </c>
      <c r="C37" s="1" t="s">
        <v>8</v>
      </c>
      <c r="D37" s="1" t="s">
        <v>28</v>
      </c>
      <c r="E37" s="1" t="s">
        <v>7</v>
      </c>
      <c r="F37" s="1">
        <f t="shared" ca="1" si="0"/>
        <v>5</v>
      </c>
      <c r="G37" s="1">
        <f t="shared" ca="1" si="1"/>
        <v>33145</v>
      </c>
      <c r="H37" s="1">
        <f t="shared" ca="1" si="2"/>
        <v>27774</v>
      </c>
      <c r="I37" s="1">
        <f t="shared" ca="1" si="3"/>
        <v>5371</v>
      </c>
    </row>
    <row r="38" spans="1:9" x14ac:dyDescent="0.3">
      <c r="A38" s="7">
        <v>46059</v>
      </c>
      <c r="B38" s="1" t="s">
        <v>12</v>
      </c>
      <c r="C38" s="1" t="s">
        <v>5</v>
      </c>
      <c r="D38" s="1" t="s">
        <v>27</v>
      </c>
      <c r="E38" s="1" t="s">
        <v>10</v>
      </c>
      <c r="F38" s="1">
        <f t="shared" ca="1" si="0"/>
        <v>6</v>
      </c>
      <c r="G38" s="1">
        <f t="shared" ca="1" si="1"/>
        <v>28795</v>
      </c>
      <c r="H38" s="1">
        <f t="shared" ca="1" si="2"/>
        <v>36618</v>
      </c>
      <c r="I38" s="1">
        <f t="shared" ca="1" si="3"/>
        <v>-7823</v>
      </c>
    </row>
    <row r="39" spans="1:9" x14ac:dyDescent="0.3">
      <c r="A39" s="7">
        <v>46060</v>
      </c>
      <c r="B39" s="1" t="s">
        <v>14</v>
      </c>
      <c r="C39" s="1" t="s">
        <v>11</v>
      </c>
      <c r="D39" s="1" t="s">
        <v>28</v>
      </c>
      <c r="E39" s="1" t="s">
        <v>13</v>
      </c>
      <c r="F39" s="1">
        <f t="shared" ca="1" si="0"/>
        <v>3</v>
      </c>
      <c r="G39" s="1">
        <f t="shared" ca="1" si="1"/>
        <v>18201</v>
      </c>
      <c r="H39" s="1">
        <f t="shared" ca="1" si="2"/>
        <v>36026</v>
      </c>
      <c r="I39" s="1">
        <f t="shared" ca="1" si="3"/>
        <v>-17825</v>
      </c>
    </row>
    <row r="40" spans="1:9" x14ac:dyDescent="0.3">
      <c r="A40" s="7">
        <v>46061</v>
      </c>
      <c r="B40" s="1" t="s">
        <v>6</v>
      </c>
      <c r="C40" s="1" t="s">
        <v>16</v>
      </c>
      <c r="D40" s="1" t="s">
        <v>27</v>
      </c>
      <c r="E40" s="1" t="s">
        <v>15</v>
      </c>
      <c r="F40" s="1">
        <f t="shared" ca="1" si="0"/>
        <v>5</v>
      </c>
      <c r="G40" s="1">
        <f t="shared" ca="1" si="1"/>
        <v>23845</v>
      </c>
      <c r="H40" s="1">
        <f t="shared" ca="1" si="2"/>
        <v>23169</v>
      </c>
      <c r="I40" s="1">
        <f t="shared" ca="1" si="3"/>
        <v>676</v>
      </c>
    </row>
    <row r="41" spans="1:9" x14ac:dyDescent="0.3">
      <c r="A41" s="7">
        <v>46062</v>
      </c>
      <c r="B41" s="1" t="s">
        <v>9</v>
      </c>
      <c r="C41" s="1" t="s">
        <v>5</v>
      </c>
      <c r="D41" s="1" t="s">
        <v>27</v>
      </c>
      <c r="E41" s="1" t="s">
        <v>17</v>
      </c>
      <c r="F41" s="1">
        <f t="shared" ca="1" si="0"/>
        <v>4</v>
      </c>
      <c r="G41" s="1">
        <f t="shared" ca="1" si="1"/>
        <v>38547</v>
      </c>
      <c r="H41" s="1">
        <f t="shared" ca="1" si="2"/>
        <v>26495</v>
      </c>
      <c r="I41" s="1">
        <f t="shared" ca="1" si="3"/>
        <v>12052</v>
      </c>
    </row>
    <row r="42" spans="1:9" x14ac:dyDescent="0.3">
      <c r="A42" s="7">
        <v>46063</v>
      </c>
      <c r="B42" s="1" t="s">
        <v>12</v>
      </c>
      <c r="C42" s="1" t="s">
        <v>8</v>
      </c>
      <c r="D42" s="1" t="s">
        <v>28</v>
      </c>
      <c r="E42" s="1" t="s">
        <v>7</v>
      </c>
      <c r="F42" s="1">
        <f t="shared" ca="1" si="0"/>
        <v>9</v>
      </c>
      <c r="G42" s="1">
        <f t="shared" ca="1" si="1"/>
        <v>46341</v>
      </c>
      <c r="H42" s="1">
        <f t="shared" ca="1" si="2"/>
        <v>34805</v>
      </c>
      <c r="I42" s="1">
        <f t="shared" ca="1" si="3"/>
        <v>11536</v>
      </c>
    </row>
    <row r="43" spans="1:9" x14ac:dyDescent="0.3">
      <c r="A43" s="7">
        <v>46064</v>
      </c>
      <c r="B43" s="1" t="s">
        <v>14</v>
      </c>
      <c r="C43" s="1" t="s">
        <v>16</v>
      </c>
      <c r="D43" s="1" t="s">
        <v>27</v>
      </c>
      <c r="E43" s="1" t="s">
        <v>10</v>
      </c>
      <c r="F43" s="1">
        <f t="shared" ca="1" si="0"/>
        <v>8</v>
      </c>
      <c r="G43" s="1">
        <f t="shared" ca="1" si="1"/>
        <v>40130</v>
      </c>
      <c r="H43" s="1">
        <f t="shared" ca="1" si="2"/>
        <v>18953</v>
      </c>
      <c r="I43" s="1">
        <f t="shared" ca="1" si="3"/>
        <v>21177</v>
      </c>
    </row>
    <row r="44" spans="1:9" x14ac:dyDescent="0.3">
      <c r="A44" s="7">
        <v>46065</v>
      </c>
      <c r="B44" s="1" t="s">
        <v>6</v>
      </c>
      <c r="C44" s="1" t="s">
        <v>11</v>
      </c>
      <c r="D44" s="1" t="s">
        <v>28</v>
      </c>
      <c r="E44" s="1" t="s">
        <v>13</v>
      </c>
      <c r="F44" s="1">
        <f t="shared" ca="1" si="0"/>
        <v>1</v>
      </c>
      <c r="G44" s="1">
        <f t="shared" ca="1" si="1"/>
        <v>22097</v>
      </c>
      <c r="H44" s="1">
        <f t="shared" ca="1" si="2"/>
        <v>39818</v>
      </c>
      <c r="I44" s="1">
        <f t="shared" ca="1" si="3"/>
        <v>-17721</v>
      </c>
    </row>
    <row r="45" spans="1:9" x14ac:dyDescent="0.3">
      <c r="A45" s="7">
        <v>46066</v>
      </c>
      <c r="B45" s="1" t="s">
        <v>9</v>
      </c>
      <c r="C45" s="1" t="s">
        <v>5</v>
      </c>
      <c r="D45" s="1" t="s">
        <v>27</v>
      </c>
      <c r="E45" s="1" t="s">
        <v>15</v>
      </c>
      <c r="F45" s="1">
        <f t="shared" ca="1" si="0"/>
        <v>1</v>
      </c>
      <c r="G45" s="1">
        <f t="shared" ca="1" si="1"/>
        <v>29749</v>
      </c>
      <c r="H45" s="1">
        <f t="shared" ca="1" si="2"/>
        <v>13589</v>
      </c>
      <c r="I45" s="1">
        <f t="shared" ca="1" si="3"/>
        <v>16160</v>
      </c>
    </row>
    <row r="46" spans="1:9" x14ac:dyDescent="0.3">
      <c r="A46" s="7">
        <v>46067</v>
      </c>
      <c r="B46" s="1" t="s">
        <v>12</v>
      </c>
      <c r="C46" s="1" t="s">
        <v>16</v>
      </c>
      <c r="D46" s="1" t="s">
        <v>27</v>
      </c>
      <c r="E46" s="1" t="s">
        <v>17</v>
      </c>
      <c r="F46" s="1">
        <f t="shared" ca="1" si="0"/>
        <v>5</v>
      </c>
      <c r="G46" s="1">
        <f t="shared" ca="1" si="1"/>
        <v>20501</v>
      </c>
      <c r="H46" s="1">
        <f t="shared" ca="1" si="2"/>
        <v>31503</v>
      </c>
      <c r="I46" s="1">
        <f t="shared" ca="1" si="3"/>
        <v>-11002</v>
      </c>
    </row>
    <row r="47" spans="1:9" x14ac:dyDescent="0.3">
      <c r="A47" s="7">
        <v>46068</v>
      </c>
      <c r="B47" s="1" t="s">
        <v>6</v>
      </c>
      <c r="C47" s="1" t="s">
        <v>5</v>
      </c>
      <c r="D47" s="1" t="s">
        <v>27</v>
      </c>
      <c r="E47" s="1" t="s">
        <v>7</v>
      </c>
      <c r="F47" s="1">
        <f t="shared" ca="1" si="0"/>
        <v>3</v>
      </c>
      <c r="G47" s="1">
        <f t="shared" ca="1" si="1"/>
        <v>33678</v>
      </c>
      <c r="H47" s="1">
        <f t="shared" ca="1" si="2"/>
        <v>37284</v>
      </c>
      <c r="I47" s="1">
        <f t="shared" ca="1" si="3"/>
        <v>-3606</v>
      </c>
    </row>
    <row r="48" spans="1:9" x14ac:dyDescent="0.3">
      <c r="A48" s="7">
        <v>46069</v>
      </c>
      <c r="B48" s="1" t="s">
        <v>9</v>
      </c>
      <c r="C48" s="1" t="s">
        <v>8</v>
      </c>
      <c r="D48" s="1" t="s">
        <v>28</v>
      </c>
      <c r="E48" s="1" t="s">
        <v>10</v>
      </c>
      <c r="F48" s="1">
        <f t="shared" ca="1" si="0"/>
        <v>6</v>
      </c>
      <c r="G48" s="1">
        <f t="shared" ca="1" si="1"/>
        <v>46046</v>
      </c>
      <c r="H48" s="1">
        <f t="shared" ca="1" si="2"/>
        <v>29926</v>
      </c>
      <c r="I48" s="1">
        <f t="shared" ca="1" si="3"/>
        <v>16120</v>
      </c>
    </row>
    <row r="49" spans="1:9" x14ac:dyDescent="0.3">
      <c r="A49" s="7">
        <v>46070</v>
      </c>
      <c r="B49" s="1" t="s">
        <v>12</v>
      </c>
      <c r="C49" s="1" t="s">
        <v>11</v>
      </c>
      <c r="D49" s="1" t="s">
        <v>28</v>
      </c>
      <c r="E49" s="1" t="s">
        <v>13</v>
      </c>
      <c r="F49" s="1">
        <f t="shared" ca="1" si="0"/>
        <v>10</v>
      </c>
      <c r="G49" s="1">
        <f t="shared" ca="1" si="1"/>
        <v>38047</v>
      </c>
      <c r="H49" s="1">
        <f t="shared" ca="1" si="2"/>
        <v>13966</v>
      </c>
      <c r="I49" s="1">
        <f t="shared" ca="1" si="3"/>
        <v>24081</v>
      </c>
    </row>
    <row r="50" spans="1:9" x14ac:dyDescent="0.3">
      <c r="A50" s="7">
        <v>46071</v>
      </c>
      <c r="B50" s="1" t="s">
        <v>14</v>
      </c>
      <c r="C50" s="1" t="s">
        <v>5</v>
      </c>
      <c r="D50" s="1" t="s">
        <v>27</v>
      </c>
      <c r="E50" s="1" t="s">
        <v>15</v>
      </c>
      <c r="F50" s="1">
        <f t="shared" ca="1" si="0"/>
        <v>2</v>
      </c>
      <c r="G50" s="1">
        <f t="shared" ca="1" si="1"/>
        <v>37583</v>
      </c>
      <c r="H50" s="1">
        <f t="shared" ca="1" si="2"/>
        <v>15569</v>
      </c>
      <c r="I50" s="1">
        <f t="shared" ca="1" si="3"/>
        <v>22014</v>
      </c>
    </row>
    <row r="51" spans="1:9" x14ac:dyDescent="0.3">
      <c r="A51" s="7">
        <v>46072</v>
      </c>
      <c r="B51" s="1" t="s">
        <v>6</v>
      </c>
      <c r="C51" s="1" t="s">
        <v>16</v>
      </c>
      <c r="D51" s="1" t="s">
        <v>27</v>
      </c>
      <c r="E51" s="1" t="s">
        <v>17</v>
      </c>
      <c r="F51" s="1">
        <f t="shared" ca="1" si="0"/>
        <v>4</v>
      </c>
      <c r="G51" s="1">
        <f t="shared" ca="1" si="1"/>
        <v>37868</v>
      </c>
      <c r="H51" s="1">
        <f t="shared" ca="1" si="2"/>
        <v>14698</v>
      </c>
      <c r="I51" s="1">
        <f t="shared" ca="1" si="3"/>
        <v>23170</v>
      </c>
    </row>
    <row r="52" spans="1:9" x14ac:dyDescent="0.3">
      <c r="A52" s="7">
        <v>46073</v>
      </c>
      <c r="B52" s="1" t="s">
        <v>9</v>
      </c>
      <c r="C52" s="1" t="s">
        <v>8</v>
      </c>
      <c r="D52" s="1" t="s">
        <v>28</v>
      </c>
      <c r="E52" s="1" t="s">
        <v>7</v>
      </c>
      <c r="F52" s="1">
        <f t="shared" ca="1" si="0"/>
        <v>2</v>
      </c>
      <c r="G52" s="1">
        <f t="shared" ca="1" si="1"/>
        <v>25230</v>
      </c>
      <c r="H52" s="1">
        <f t="shared" ca="1" si="2"/>
        <v>26973</v>
      </c>
      <c r="I52" s="1">
        <f t="shared" ca="1" si="3"/>
        <v>-1743</v>
      </c>
    </row>
    <row r="53" spans="1:9" x14ac:dyDescent="0.3">
      <c r="A53" s="7">
        <v>46074</v>
      </c>
      <c r="B53" s="1" t="s">
        <v>12</v>
      </c>
      <c r="C53" s="1" t="s">
        <v>5</v>
      </c>
      <c r="D53" s="1" t="s">
        <v>27</v>
      </c>
      <c r="E53" s="1" t="s">
        <v>10</v>
      </c>
      <c r="F53" s="1">
        <f t="shared" ca="1" si="0"/>
        <v>2</v>
      </c>
      <c r="G53" s="1">
        <f t="shared" ca="1" si="1"/>
        <v>25451</v>
      </c>
      <c r="H53" s="1">
        <f t="shared" ca="1" si="2"/>
        <v>23561</v>
      </c>
      <c r="I53" s="1">
        <f t="shared" ca="1" si="3"/>
        <v>1890</v>
      </c>
    </row>
    <row r="54" spans="1:9" x14ac:dyDescent="0.3">
      <c r="A54" s="7">
        <v>46075</v>
      </c>
      <c r="B54" s="1" t="s">
        <v>14</v>
      </c>
      <c r="C54" s="1" t="s">
        <v>11</v>
      </c>
      <c r="D54" s="1" t="s">
        <v>28</v>
      </c>
      <c r="E54" s="1" t="s">
        <v>13</v>
      </c>
      <c r="F54" s="1">
        <f t="shared" ca="1" si="0"/>
        <v>7</v>
      </c>
      <c r="G54" s="1">
        <f t="shared" ca="1" si="1"/>
        <v>33322</v>
      </c>
      <c r="H54" s="1">
        <f t="shared" ca="1" si="2"/>
        <v>15219</v>
      </c>
      <c r="I54" s="1">
        <f t="shared" ca="1" si="3"/>
        <v>18103</v>
      </c>
    </row>
    <row r="55" spans="1:9" x14ac:dyDescent="0.3">
      <c r="A55" s="7">
        <v>46076</v>
      </c>
      <c r="B55" s="1" t="s">
        <v>6</v>
      </c>
      <c r="C55" s="1" t="s">
        <v>16</v>
      </c>
      <c r="D55" s="1" t="s">
        <v>27</v>
      </c>
      <c r="E55" s="1" t="s">
        <v>15</v>
      </c>
      <c r="F55" s="1">
        <f t="shared" ca="1" si="0"/>
        <v>7</v>
      </c>
      <c r="G55" s="1">
        <f t="shared" ca="1" si="1"/>
        <v>15195</v>
      </c>
      <c r="H55" s="1">
        <f t="shared" ca="1" si="2"/>
        <v>25417</v>
      </c>
      <c r="I55" s="1">
        <f t="shared" ca="1" si="3"/>
        <v>-10222</v>
      </c>
    </row>
    <row r="56" spans="1:9" x14ac:dyDescent="0.3">
      <c r="A56" s="7">
        <v>46077</v>
      </c>
      <c r="B56" s="1" t="s">
        <v>9</v>
      </c>
      <c r="C56" s="1" t="s">
        <v>5</v>
      </c>
      <c r="D56" s="1" t="s">
        <v>27</v>
      </c>
      <c r="E56" s="1" t="s">
        <v>17</v>
      </c>
      <c r="F56" s="1">
        <f t="shared" ca="1" si="0"/>
        <v>5</v>
      </c>
      <c r="G56" s="1">
        <f t="shared" ca="1" si="1"/>
        <v>13765</v>
      </c>
      <c r="H56" s="1">
        <f t="shared" ca="1" si="2"/>
        <v>29155</v>
      </c>
      <c r="I56" s="1">
        <f t="shared" ca="1" si="3"/>
        <v>-15390</v>
      </c>
    </row>
    <row r="57" spans="1:9" x14ac:dyDescent="0.3">
      <c r="A57" s="7">
        <v>46078</v>
      </c>
      <c r="B57" s="1" t="s">
        <v>12</v>
      </c>
      <c r="C57" s="1" t="s">
        <v>8</v>
      </c>
      <c r="D57" s="1" t="s">
        <v>28</v>
      </c>
      <c r="E57" s="1" t="s">
        <v>7</v>
      </c>
      <c r="F57" s="1">
        <f t="shared" ca="1" si="0"/>
        <v>4</v>
      </c>
      <c r="G57" s="1">
        <f t="shared" ca="1" si="1"/>
        <v>29321</v>
      </c>
      <c r="H57" s="1">
        <f t="shared" ca="1" si="2"/>
        <v>26979</v>
      </c>
      <c r="I57" s="1">
        <f t="shared" ca="1" si="3"/>
        <v>2342</v>
      </c>
    </row>
    <row r="58" spans="1:9" x14ac:dyDescent="0.3">
      <c r="A58" s="7">
        <v>46079</v>
      </c>
      <c r="B58" s="1" t="s">
        <v>14</v>
      </c>
      <c r="C58" s="1" t="s">
        <v>16</v>
      </c>
      <c r="D58" s="1" t="s">
        <v>27</v>
      </c>
      <c r="E58" s="1" t="s">
        <v>10</v>
      </c>
      <c r="F58" s="1">
        <f t="shared" ca="1" si="0"/>
        <v>4</v>
      </c>
      <c r="G58" s="1">
        <f t="shared" ca="1" si="1"/>
        <v>42725</v>
      </c>
      <c r="H58" s="1">
        <f t="shared" ca="1" si="2"/>
        <v>37682</v>
      </c>
      <c r="I58" s="1">
        <f t="shared" ca="1" si="3"/>
        <v>5043</v>
      </c>
    </row>
    <row r="59" spans="1:9" x14ac:dyDescent="0.3">
      <c r="A59" s="7">
        <v>46080</v>
      </c>
      <c r="B59" s="1" t="s">
        <v>6</v>
      </c>
      <c r="C59" s="1" t="s">
        <v>11</v>
      </c>
      <c r="D59" s="1" t="s">
        <v>28</v>
      </c>
      <c r="E59" s="1" t="s">
        <v>13</v>
      </c>
      <c r="F59" s="1">
        <f t="shared" ca="1" si="0"/>
        <v>8</v>
      </c>
      <c r="G59" s="1">
        <f t="shared" ca="1" si="1"/>
        <v>48684</v>
      </c>
      <c r="H59" s="1">
        <f t="shared" ca="1" si="2"/>
        <v>17338</v>
      </c>
      <c r="I59" s="1">
        <f t="shared" ca="1" si="3"/>
        <v>31346</v>
      </c>
    </row>
    <row r="60" spans="1:9" x14ac:dyDescent="0.3">
      <c r="A60" s="7">
        <v>46081</v>
      </c>
      <c r="B60" s="1" t="s">
        <v>9</v>
      </c>
      <c r="C60" s="1" t="s">
        <v>5</v>
      </c>
      <c r="D60" s="1" t="s">
        <v>27</v>
      </c>
      <c r="E60" s="1" t="s">
        <v>15</v>
      </c>
      <c r="F60" s="1">
        <f t="shared" ca="1" si="0"/>
        <v>8</v>
      </c>
      <c r="G60" s="1">
        <f t="shared" ca="1" si="1"/>
        <v>42403</v>
      </c>
      <c r="H60" s="1">
        <f t="shared" ca="1" si="2"/>
        <v>8456</v>
      </c>
      <c r="I60" s="1">
        <f t="shared" ca="1" si="3"/>
        <v>33947</v>
      </c>
    </row>
    <row r="61" spans="1:9" x14ac:dyDescent="0.3">
      <c r="A61" s="7">
        <v>46082</v>
      </c>
      <c r="B61" s="1" t="s">
        <v>12</v>
      </c>
      <c r="C61" s="1" t="s">
        <v>16</v>
      </c>
      <c r="D61" s="1" t="s">
        <v>27</v>
      </c>
      <c r="E61" s="1" t="s">
        <v>17</v>
      </c>
      <c r="F61" s="1">
        <f t="shared" ca="1" si="0"/>
        <v>8</v>
      </c>
      <c r="G61" s="1">
        <f t="shared" ca="1" si="1"/>
        <v>30545</v>
      </c>
      <c r="H61" s="1">
        <f t="shared" ca="1" si="2"/>
        <v>34789</v>
      </c>
      <c r="I61" s="1">
        <f t="shared" ca="1" si="3"/>
        <v>-4244</v>
      </c>
    </row>
    <row r="62" spans="1:9" x14ac:dyDescent="0.3">
      <c r="A62" s="7">
        <v>46083</v>
      </c>
      <c r="B62" s="1" t="s">
        <v>6</v>
      </c>
      <c r="C62" s="1" t="s">
        <v>5</v>
      </c>
      <c r="D62" s="1" t="s">
        <v>27</v>
      </c>
      <c r="E62" s="1" t="s">
        <v>7</v>
      </c>
      <c r="F62" s="1">
        <f t="shared" ca="1" si="0"/>
        <v>7</v>
      </c>
      <c r="G62" s="1">
        <f t="shared" ca="1" si="1"/>
        <v>24839</v>
      </c>
      <c r="H62" s="1">
        <f t="shared" ca="1" si="2"/>
        <v>30409</v>
      </c>
      <c r="I62" s="1">
        <f t="shared" ca="1" si="3"/>
        <v>-5570</v>
      </c>
    </row>
    <row r="63" spans="1:9" x14ac:dyDescent="0.3">
      <c r="A63" s="7">
        <v>46084</v>
      </c>
      <c r="B63" s="1" t="s">
        <v>9</v>
      </c>
      <c r="C63" s="1" t="s">
        <v>8</v>
      </c>
      <c r="D63" s="1" t="s">
        <v>28</v>
      </c>
      <c r="E63" s="1" t="s">
        <v>10</v>
      </c>
      <c r="F63" s="1">
        <f t="shared" ca="1" si="0"/>
        <v>1</v>
      </c>
      <c r="G63" s="1">
        <f t="shared" ca="1" si="1"/>
        <v>48437</v>
      </c>
      <c r="H63" s="1">
        <f t="shared" ca="1" si="2"/>
        <v>35094</v>
      </c>
      <c r="I63" s="1">
        <f t="shared" ca="1" si="3"/>
        <v>13343</v>
      </c>
    </row>
    <row r="64" spans="1:9" x14ac:dyDescent="0.3">
      <c r="A64" s="7">
        <v>46085</v>
      </c>
      <c r="B64" s="1" t="s">
        <v>12</v>
      </c>
      <c r="C64" s="1" t="s">
        <v>11</v>
      </c>
      <c r="D64" s="1" t="s">
        <v>28</v>
      </c>
      <c r="E64" s="1" t="s">
        <v>13</v>
      </c>
      <c r="F64" s="1">
        <f t="shared" ca="1" si="0"/>
        <v>1</v>
      </c>
      <c r="G64" s="1">
        <f t="shared" ca="1" si="1"/>
        <v>23058</v>
      </c>
      <c r="H64" s="1">
        <f t="shared" ca="1" si="2"/>
        <v>12643</v>
      </c>
      <c r="I64" s="1">
        <f t="shared" ca="1" si="3"/>
        <v>10415</v>
      </c>
    </row>
    <row r="65" spans="1:9" x14ac:dyDescent="0.3">
      <c r="A65" s="7">
        <v>46086</v>
      </c>
      <c r="B65" s="1" t="s">
        <v>14</v>
      </c>
      <c r="C65" s="1" t="s">
        <v>5</v>
      </c>
      <c r="D65" s="1" t="s">
        <v>27</v>
      </c>
      <c r="E65" s="1" t="s">
        <v>15</v>
      </c>
      <c r="F65" s="1">
        <f t="shared" ca="1" si="0"/>
        <v>7</v>
      </c>
      <c r="G65" s="1">
        <f t="shared" ca="1" si="1"/>
        <v>33137</v>
      </c>
      <c r="H65" s="1">
        <f t="shared" ca="1" si="2"/>
        <v>17753</v>
      </c>
      <c r="I65" s="1">
        <f t="shared" ca="1" si="3"/>
        <v>15384</v>
      </c>
    </row>
    <row r="66" spans="1:9" x14ac:dyDescent="0.3">
      <c r="A66" s="7">
        <v>46087</v>
      </c>
      <c r="B66" s="1" t="s">
        <v>6</v>
      </c>
      <c r="C66" s="1" t="s">
        <v>16</v>
      </c>
      <c r="D66" s="1" t="s">
        <v>27</v>
      </c>
      <c r="E66" s="1" t="s">
        <v>17</v>
      </c>
      <c r="F66" s="1">
        <f t="shared" ca="1" si="0"/>
        <v>3</v>
      </c>
      <c r="G66" s="1">
        <f t="shared" ca="1" si="1"/>
        <v>24676</v>
      </c>
      <c r="H66" s="1">
        <f t="shared" ca="1" si="2"/>
        <v>26963</v>
      </c>
      <c r="I66" s="1">
        <f t="shared" ca="1" si="3"/>
        <v>-2287</v>
      </c>
    </row>
    <row r="67" spans="1:9" x14ac:dyDescent="0.3">
      <c r="A67" s="7">
        <v>46088</v>
      </c>
      <c r="B67" s="1" t="s">
        <v>9</v>
      </c>
      <c r="C67" s="1" t="s">
        <v>8</v>
      </c>
      <c r="D67" s="1" t="s">
        <v>28</v>
      </c>
      <c r="E67" s="1" t="s">
        <v>7</v>
      </c>
      <c r="F67" s="1">
        <f t="shared" ref="F67:F121" ca="1" si="4">RANDBETWEEN(1,10)</f>
        <v>8</v>
      </c>
      <c r="G67" s="1">
        <f t="shared" ref="G67:G121" ca="1" si="5">RANDBETWEEN(10000,50000)</f>
        <v>38769</v>
      </c>
      <c r="H67" s="1">
        <f t="shared" ref="H67:H121" ca="1" si="6">RANDBETWEEN(5000,40000)</f>
        <v>31770</v>
      </c>
      <c r="I67" s="1">
        <f t="shared" ref="I67:I121" ca="1" si="7">G67-H67</f>
        <v>6999</v>
      </c>
    </row>
    <row r="68" spans="1:9" x14ac:dyDescent="0.3">
      <c r="A68" s="7">
        <v>46089</v>
      </c>
      <c r="B68" s="1" t="s">
        <v>12</v>
      </c>
      <c r="C68" s="1" t="s">
        <v>5</v>
      </c>
      <c r="D68" s="1" t="s">
        <v>27</v>
      </c>
      <c r="E68" s="1" t="s">
        <v>10</v>
      </c>
      <c r="F68" s="1">
        <f t="shared" ca="1" si="4"/>
        <v>3</v>
      </c>
      <c r="G68" s="1">
        <f t="shared" ca="1" si="5"/>
        <v>49002</v>
      </c>
      <c r="H68" s="1">
        <f t="shared" ca="1" si="6"/>
        <v>38775</v>
      </c>
      <c r="I68" s="1">
        <f t="shared" ca="1" si="7"/>
        <v>10227</v>
      </c>
    </row>
    <row r="69" spans="1:9" x14ac:dyDescent="0.3">
      <c r="A69" s="7">
        <v>46090</v>
      </c>
      <c r="B69" s="1" t="s">
        <v>14</v>
      </c>
      <c r="C69" s="1" t="s">
        <v>11</v>
      </c>
      <c r="D69" s="1" t="s">
        <v>28</v>
      </c>
      <c r="E69" s="1" t="s">
        <v>13</v>
      </c>
      <c r="F69" s="1">
        <f t="shared" ca="1" si="4"/>
        <v>7</v>
      </c>
      <c r="G69" s="1">
        <f t="shared" ca="1" si="5"/>
        <v>39834</v>
      </c>
      <c r="H69" s="1">
        <f t="shared" ca="1" si="6"/>
        <v>36782</v>
      </c>
      <c r="I69" s="1">
        <f t="shared" ca="1" si="7"/>
        <v>3052</v>
      </c>
    </row>
    <row r="70" spans="1:9" x14ac:dyDescent="0.3">
      <c r="A70" s="7">
        <v>46091</v>
      </c>
      <c r="B70" s="1" t="s">
        <v>6</v>
      </c>
      <c r="C70" s="1" t="s">
        <v>16</v>
      </c>
      <c r="D70" s="1" t="s">
        <v>27</v>
      </c>
      <c r="E70" s="1" t="s">
        <v>15</v>
      </c>
      <c r="F70" s="1">
        <f t="shared" ca="1" si="4"/>
        <v>8</v>
      </c>
      <c r="G70" s="1">
        <f t="shared" ca="1" si="5"/>
        <v>27883</v>
      </c>
      <c r="H70" s="1">
        <f t="shared" ca="1" si="6"/>
        <v>31955</v>
      </c>
      <c r="I70" s="1">
        <f t="shared" ca="1" si="7"/>
        <v>-4072</v>
      </c>
    </row>
    <row r="71" spans="1:9" x14ac:dyDescent="0.3">
      <c r="A71" s="7">
        <v>46092</v>
      </c>
      <c r="B71" s="1" t="s">
        <v>9</v>
      </c>
      <c r="C71" s="1" t="s">
        <v>5</v>
      </c>
      <c r="D71" s="1" t="s">
        <v>27</v>
      </c>
      <c r="E71" s="1" t="s">
        <v>17</v>
      </c>
      <c r="F71" s="1">
        <f t="shared" ca="1" si="4"/>
        <v>5</v>
      </c>
      <c r="G71" s="1">
        <f t="shared" ca="1" si="5"/>
        <v>45919</v>
      </c>
      <c r="H71" s="1">
        <f t="shared" ca="1" si="6"/>
        <v>30165</v>
      </c>
      <c r="I71" s="1">
        <f t="shared" ca="1" si="7"/>
        <v>15754</v>
      </c>
    </row>
    <row r="72" spans="1:9" x14ac:dyDescent="0.3">
      <c r="A72" s="7">
        <v>46093</v>
      </c>
      <c r="B72" s="1" t="s">
        <v>12</v>
      </c>
      <c r="C72" s="1" t="s">
        <v>8</v>
      </c>
      <c r="D72" s="1" t="s">
        <v>28</v>
      </c>
      <c r="E72" s="1" t="s">
        <v>7</v>
      </c>
      <c r="F72" s="1">
        <f t="shared" ca="1" si="4"/>
        <v>4</v>
      </c>
      <c r="G72" s="1">
        <f t="shared" ca="1" si="5"/>
        <v>19261</v>
      </c>
      <c r="H72" s="1">
        <f t="shared" ca="1" si="6"/>
        <v>30524</v>
      </c>
      <c r="I72" s="1">
        <f t="shared" ca="1" si="7"/>
        <v>-11263</v>
      </c>
    </row>
    <row r="73" spans="1:9" x14ac:dyDescent="0.3">
      <c r="A73" s="7">
        <v>46094</v>
      </c>
      <c r="B73" s="1" t="s">
        <v>14</v>
      </c>
      <c r="C73" s="1" t="s">
        <v>16</v>
      </c>
      <c r="D73" s="1" t="s">
        <v>27</v>
      </c>
      <c r="E73" s="1" t="s">
        <v>10</v>
      </c>
      <c r="F73" s="1">
        <f t="shared" ca="1" si="4"/>
        <v>8</v>
      </c>
      <c r="G73" s="1">
        <f t="shared" ca="1" si="5"/>
        <v>17731</v>
      </c>
      <c r="H73" s="1">
        <f t="shared" ca="1" si="6"/>
        <v>34893</v>
      </c>
      <c r="I73" s="1">
        <f t="shared" ca="1" si="7"/>
        <v>-17162</v>
      </c>
    </row>
    <row r="74" spans="1:9" x14ac:dyDescent="0.3">
      <c r="A74" s="7">
        <v>46095</v>
      </c>
      <c r="B74" s="1" t="s">
        <v>6</v>
      </c>
      <c r="C74" s="1" t="s">
        <v>11</v>
      </c>
      <c r="D74" s="1" t="s">
        <v>28</v>
      </c>
      <c r="E74" s="1" t="s">
        <v>13</v>
      </c>
      <c r="F74" s="1">
        <f t="shared" ca="1" si="4"/>
        <v>4</v>
      </c>
      <c r="G74" s="1">
        <f t="shared" ca="1" si="5"/>
        <v>12777</v>
      </c>
      <c r="H74" s="1">
        <f t="shared" ca="1" si="6"/>
        <v>24993</v>
      </c>
      <c r="I74" s="1">
        <f t="shared" ca="1" si="7"/>
        <v>-12216</v>
      </c>
    </row>
    <row r="75" spans="1:9" x14ac:dyDescent="0.3">
      <c r="A75" s="7">
        <v>46096</v>
      </c>
      <c r="B75" s="1" t="s">
        <v>9</v>
      </c>
      <c r="C75" s="1" t="s">
        <v>5</v>
      </c>
      <c r="D75" s="1" t="s">
        <v>27</v>
      </c>
      <c r="E75" s="1" t="s">
        <v>15</v>
      </c>
      <c r="F75" s="1">
        <f t="shared" ca="1" si="4"/>
        <v>6</v>
      </c>
      <c r="G75" s="1">
        <f t="shared" ca="1" si="5"/>
        <v>41936</v>
      </c>
      <c r="H75" s="1">
        <f t="shared" ca="1" si="6"/>
        <v>24686</v>
      </c>
      <c r="I75" s="1">
        <f t="shared" ca="1" si="7"/>
        <v>17250</v>
      </c>
    </row>
    <row r="76" spans="1:9" x14ac:dyDescent="0.3">
      <c r="A76" s="7">
        <v>46097</v>
      </c>
      <c r="B76" s="1" t="s">
        <v>12</v>
      </c>
      <c r="C76" s="1" t="s">
        <v>16</v>
      </c>
      <c r="D76" s="1" t="s">
        <v>27</v>
      </c>
      <c r="E76" s="1" t="s">
        <v>17</v>
      </c>
      <c r="F76" s="1">
        <f t="shared" ca="1" si="4"/>
        <v>1</v>
      </c>
      <c r="G76" s="1">
        <f t="shared" ca="1" si="5"/>
        <v>34125</v>
      </c>
      <c r="H76" s="1">
        <f t="shared" ca="1" si="6"/>
        <v>36465</v>
      </c>
      <c r="I76" s="1">
        <f t="shared" ca="1" si="7"/>
        <v>-2340</v>
      </c>
    </row>
    <row r="77" spans="1:9" x14ac:dyDescent="0.3">
      <c r="A77" s="7">
        <v>46098</v>
      </c>
      <c r="B77" s="1" t="s">
        <v>6</v>
      </c>
      <c r="C77" s="1" t="s">
        <v>5</v>
      </c>
      <c r="D77" s="1" t="s">
        <v>27</v>
      </c>
      <c r="E77" s="1" t="s">
        <v>7</v>
      </c>
      <c r="F77" s="1">
        <f t="shared" ca="1" si="4"/>
        <v>7</v>
      </c>
      <c r="G77" s="1">
        <f t="shared" ca="1" si="5"/>
        <v>13941</v>
      </c>
      <c r="H77" s="1">
        <f t="shared" ca="1" si="6"/>
        <v>27283</v>
      </c>
      <c r="I77" s="1">
        <f t="shared" ca="1" si="7"/>
        <v>-13342</v>
      </c>
    </row>
    <row r="78" spans="1:9" x14ac:dyDescent="0.3">
      <c r="A78" s="7">
        <v>46099</v>
      </c>
      <c r="B78" s="1" t="s">
        <v>9</v>
      </c>
      <c r="C78" s="1" t="s">
        <v>8</v>
      </c>
      <c r="D78" s="1" t="s">
        <v>28</v>
      </c>
      <c r="E78" s="1" t="s">
        <v>10</v>
      </c>
      <c r="F78" s="1">
        <f t="shared" ca="1" si="4"/>
        <v>6</v>
      </c>
      <c r="G78" s="1">
        <f t="shared" ca="1" si="5"/>
        <v>14606</v>
      </c>
      <c r="H78" s="1">
        <f t="shared" ca="1" si="6"/>
        <v>25419</v>
      </c>
      <c r="I78" s="1">
        <f t="shared" ca="1" si="7"/>
        <v>-10813</v>
      </c>
    </row>
    <row r="79" spans="1:9" x14ac:dyDescent="0.3">
      <c r="A79" s="7">
        <v>46100</v>
      </c>
      <c r="B79" s="1" t="s">
        <v>12</v>
      </c>
      <c r="C79" s="1" t="s">
        <v>11</v>
      </c>
      <c r="D79" s="1" t="s">
        <v>28</v>
      </c>
      <c r="E79" s="1" t="s">
        <v>13</v>
      </c>
      <c r="F79" s="1">
        <f t="shared" ca="1" si="4"/>
        <v>4</v>
      </c>
      <c r="G79" s="1">
        <f t="shared" ca="1" si="5"/>
        <v>36886</v>
      </c>
      <c r="H79" s="1">
        <f t="shared" ca="1" si="6"/>
        <v>36282</v>
      </c>
      <c r="I79" s="1">
        <f t="shared" ca="1" si="7"/>
        <v>604</v>
      </c>
    </row>
    <row r="80" spans="1:9" x14ac:dyDescent="0.3">
      <c r="A80" s="7">
        <v>46101</v>
      </c>
      <c r="B80" s="1" t="s">
        <v>14</v>
      </c>
      <c r="C80" s="1" t="s">
        <v>5</v>
      </c>
      <c r="D80" s="1" t="s">
        <v>27</v>
      </c>
      <c r="E80" s="1" t="s">
        <v>15</v>
      </c>
      <c r="F80" s="1">
        <f t="shared" ca="1" si="4"/>
        <v>9</v>
      </c>
      <c r="G80" s="1">
        <f t="shared" ca="1" si="5"/>
        <v>18409</v>
      </c>
      <c r="H80" s="1">
        <f t="shared" ca="1" si="6"/>
        <v>32237</v>
      </c>
      <c r="I80" s="1">
        <f t="shared" ca="1" si="7"/>
        <v>-13828</v>
      </c>
    </row>
    <row r="81" spans="1:9" x14ac:dyDescent="0.3">
      <c r="A81" s="7">
        <v>46102</v>
      </c>
      <c r="B81" s="1" t="s">
        <v>6</v>
      </c>
      <c r="C81" s="1" t="s">
        <v>16</v>
      </c>
      <c r="D81" s="1" t="s">
        <v>27</v>
      </c>
      <c r="E81" s="1" t="s">
        <v>17</v>
      </c>
      <c r="F81" s="1">
        <f t="shared" ca="1" si="4"/>
        <v>8</v>
      </c>
      <c r="G81" s="1">
        <f t="shared" ca="1" si="5"/>
        <v>20738</v>
      </c>
      <c r="H81" s="1">
        <f t="shared" ca="1" si="6"/>
        <v>6442</v>
      </c>
      <c r="I81" s="1">
        <f t="shared" ca="1" si="7"/>
        <v>14296</v>
      </c>
    </row>
    <row r="82" spans="1:9" x14ac:dyDescent="0.3">
      <c r="A82" s="7">
        <v>46103</v>
      </c>
      <c r="B82" s="1" t="s">
        <v>9</v>
      </c>
      <c r="C82" s="1" t="s">
        <v>8</v>
      </c>
      <c r="D82" s="1" t="s">
        <v>28</v>
      </c>
      <c r="E82" s="1" t="s">
        <v>7</v>
      </c>
      <c r="F82" s="1">
        <f t="shared" ca="1" si="4"/>
        <v>1</v>
      </c>
      <c r="G82" s="1">
        <f t="shared" ca="1" si="5"/>
        <v>40695</v>
      </c>
      <c r="H82" s="1">
        <f t="shared" ca="1" si="6"/>
        <v>16911</v>
      </c>
      <c r="I82" s="1">
        <f t="shared" ca="1" si="7"/>
        <v>23784</v>
      </c>
    </row>
    <row r="83" spans="1:9" x14ac:dyDescent="0.3">
      <c r="A83" s="7">
        <v>46104</v>
      </c>
      <c r="B83" s="1" t="s">
        <v>12</v>
      </c>
      <c r="C83" s="1" t="s">
        <v>5</v>
      </c>
      <c r="D83" s="1" t="s">
        <v>27</v>
      </c>
      <c r="E83" s="1" t="s">
        <v>10</v>
      </c>
      <c r="F83" s="1">
        <f t="shared" ca="1" si="4"/>
        <v>4</v>
      </c>
      <c r="G83" s="1">
        <f t="shared" ca="1" si="5"/>
        <v>17677</v>
      </c>
      <c r="H83" s="1">
        <f t="shared" ca="1" si="6"/>
        <v>17497</v>
      </c>
      <c r="I83" s="1">
        <f t="shared" ca="1" si="7"/>
        <v>180</v>
      </c>
    </row>
    <row r="84" spans="1:9" x14ac:dyDescent="0.3">
      <c r="A84" s="7">
        <v>46105</v>
      </c>
      <c r="B84" s="1" t="s">
        <v>14</v>
      </c>
      <c r="C84" s="1" t="s">
        <v>11</v>
      </c>
      <c r="D84" s="1" t="s">
        <v>28</v>
      </c>
      <c r="E84" s="1" t="s">
        <v>13</v>
      </c>
      <c r="F84" s="1">
        <f t="shared" ca="1" si="4"/>
        <v>2</v>
      </c>
      <c r="G84" s="1">
        <f t="shared" ca="1" si="5"/>
        <v>27910</v>
      </c>
      <c r="H84" s="1">
        <f t="shared" ca="1" si="6"/>
        <v>30568</v>
      </c>
      <c r="I84" s="1">
        <f t="shared" ca="1" si="7"/>
        <v>-2658</v>
      </c>
    </row>
    <row r="85" spans="1:9" x14ac:dyDescent="0.3">
      <c r="A85" s="7">
        <v>46106</v>
      </c>
      <c r="B85" s="1" t="s">
        <v>6</v>
      </c>
      <c r="C85" s="1" t="s">
        <v>16</v>
      </c>
      <c r="D85" s="1" t="s">
        <v>27</v>
      </c>
      <c r="E85" s="1" t="s">
        <v>15</v>
      </c>
      <c r="F85" s="1">
        <f t="shared" ca="1" si="4"/>
        <v>8</v>
      </c>
      <c r="G85" s="1">
        <f t="shared" ca="1" si="5"/>
        <v>17418</v>
      </c>
      <c r="H85" s="1">
        <f t="shared" ca="1" si="6"/>
        <v>39213</v>
      </c>
      <c r="I85" s="1">
        <f t="shared" ca="1" si="7"/>
        <v>-21795</v>
      </c>
    </row>
    <row r="86" spans="1:9" x14ac:dyDescent="0.3">
      <c r="A86" s="7">
        <v>46107</v>
      </c>
      <c r="B86" s="1" t="s">
        <v>9</v>
      </c>
      <c r="C86" s="1" t="s">
        <v>5</v>
      </c>
      <c r="D86" s="1" t="s">
        <v>27</v>
      </c>
      <c r="E86" s="1" t="s">
        <v>17</v>
      </c>
      <c r="F86" s="1">
        <f t="shared" ca="1" si="4"/>
        <v>8</v>
      </c>
      <c r="G86" s="1">
        <f t="shared" ca="1" si="5"/>
        <v>35453</v>
      </c>
      <c r="H86" s="1">
        <f t="shared" ca="1" si="6"/>
        <v>30824</v>
      </c>
      <c r="I86" s="1">
        <f t="shared" ca="1" si="7"/>
        <v>4629</v>
      </c>
    </row>
    <row r="87" spans="1:9" x14ac:dyDescent="0.3">
      <c r="A87" s="7">
        <v>46108</v>
      </c>
      <c r="B87" s="1" t="s">
        <v>12</v>
      </c>
      <c r="C87" s="1" t="s">
        <v>8</v>
      </c>
      <c r="D87" s="1" t="s">
        <v>28</v>
      </c>
      <c r="E87" s="1" t="s">
        <v>7</v>
      </c>
      <c r="F87" s="1">
        <f t="shared" ca="1" si="4"/>
        <v>1</v>
      </c>
      <c r="G87" s="1">
        <f t="shared" ca="1" si="5"/>
        <v>21801</v>
      </c>
      <c r="H87" s="1">
        <f t="shared" ca="1" si="6"/>
        <v>18061</v>
      </c>
      <c r="I87" s="1">
        <f t="shared" ca="1" si="7"/>
        <v>3740</v>
      </c>
    </row>
    <row r="88" spans="1:9" x14ac:dyDescent="0.3">
      <c r="A88" s="7">
        <v>46109</v>
      </c>
      <c r="B88" s="1" t="s">
        <v>14</v>
      </c>
      <c r="C88" s="1" t="s">
        <v>16</v>
      </c>
      <c r="D88" s="1" t="s">
        <v>27</v>
      </c>
      <c r="E88" s="1" t="s">
        <v>10</v>
      </c>
      <c r="F88" s="1">
        <f t="shared" ca="1" si="4"/>
        <v>3</v>
      </c>
      <c r="G88" s="1">
        <f t="shared" ca="1" si="5"/>
        <v>38864</v>
      </c>
      <c r="H88" s="1">
        <f t="shared" ca="1" si="6"/>
        <v>35782</v>
      </c>
      <c r="I88" s="1">
        <f t="shared" ca="1" si="7"/>
        <v>3082</v>
      </c>
    </row>
    <row r="89" spans="1:9" x14ac:dyDescent="0.3">
      <c r="A89" s="7">
        <v>46110</v>
      </c>
      <c r="B89" s="1" t="s">
        <v>6</v>
      </c>
      <c r="C89" s="1" t="s">
        <v>11</v>
      </c>
      <c r="D89" s="1" t="s">
        <v>28</v>
      </c>
      <c r="E89" s="1" t="s">
        <v>13</v>
      </c>
      <c r="F89" s="1">
        <f t="shared" ca="1" si="4"/>
        <v>9</v>
      </c>
      <c r="G89" s="1">
        <f t="shared" ca="1" si="5"/>
        <v>42236</v>
      </c>
      <c r="H89" s="1">
        <f t="shared" ca="1" si="6"/>
        <v>19447</v>
      </c>
      <c r="I89" s="1">
        <f t="shared" ca="1" si="7"/>
        <v>22789</v>
      </c>
    </row>
    <row r="90" spans="1:9" x14ac:dyDescent="0.3">
      <c r="A90" s="7">
        <v>46111</v>
      </c>
      <c r="B90" s="1" t="s">
        <v>9</v>
      </c>
      <c r="C90" s="1" t="s">
        <v>5</v>
      </c>
      <c r="D90" s="1" t="s">
        <v>27</v>
      </c>
      <c r="E90" s="1" t="s">
        <v>15</v>
      </c>
      <c r="F90" s="1">
        <f t="shared" ca="1" si="4"/>
        <v>1</v>
      </c>
      <c r="G90" s="1">
        <f t="shared" ca="1" si="5"/>
        <v>47565</v>
      </c>
      <c r="H90" s="1">
        <f t="shared" ca="1" si="6"/>
        <v>21896</v>
      </c>
      <c r="I90" s="1">
        <f t="shared" ca="1" si="7"/>
        <v>25669</v>
      </c>
    </row>
    <row r="91" spans="1:9" x14ac:dyDescent="0.3">
      <c r="A91" s="7">
        <v>46112</v>
      </c>
      <c r="B91" s="1" t="s">
        <v>12</v>
      </c>
      <c r="C91" s="1" t="s">
        <v>16</v>
      </c>
      <c r="D91" s="1" t="s">
        <v>27</v>
      </c>
      <c r="E91" s="1" t="s">
        <v>17</v>
      </c>
      <c r="F91" s="1">
        <f t="shared" ca="1" si="4"/>
        <v>3</v>
      </c>
      <c r="G91" s="1">
        <f t="shared" ca="1" si="5"/>
        <v>34505</v>
      </c>
      <c r="H91" s="1">
        <f t="shared" ca="1" si="6"/>
        <v>8903</v>
      </c>
      <c r="I91" s="1">
        <f t="shared" ca="1" si="7"/>
        <v>25602</v>
      </c>
    </row>
    <row r="92" spans="1:9" x14ac:dyDescent="0.3">
      <c r="A92" s="7">
        <v>46113</v>
      </c>
      <c r="B92" s="1" t="s">
        <v>6</v>
      </c>
      <c r="C92" s="1" t="s">
        <v>5</v>
      </c>
      <c r="D92" s="1" t="s">
        <v>27</v>
      </c>
      <c r="E92" s="1" t="s">
        <v>7</v>
      </c>
      <c r="F92" s="1">
        <f t="shared" ca="1" si="4"/>
        <v>3</v>
      </c>
      <c r="G92" s="1">
        <f t="shared" ca="1" si="5"/>
        <v>24259</v>
      </c>
      <c r="H92" s="1">
        <f t="shared" ca="1" si="6"/>
        <v>32915</v>
      </c>
      <c r="I92" s="1">
        <f t="shared" ca="1" si="7"/>
        <v>-8656</v>
      </c>
    </row>
    <row r="93" spans="1:9" x14ac:dyDescent="0.3">
      <c r="A93" s="7">
        <v>46114</v>
      </c>
      <c r="B93" s="1" t="s">
        <v>9</v>
      </c>
      <c r="C93" s="1" t="s">
        <v>8</v>
      </c>
      <c r="D93" s="1" t="s">
        <v>28</v>
      </c>
      <c r="E93" s="1" t="s">
        <v>10</v>
      </c>
      <c r="F93" s="1">
        <f t="shared" ca="1" si="4"/>
        <v>1</v>
      </c>
      <c r="G93" s="1">
        <f t="shared" ca="1" si="5"/>
        <v>12860</v>
      </c>
      <c r="H93" s="1">
        <f t="shared" ca="1" si="6"/>
        <v>17073</v>
      </c>
      <c r="I93" s="1">
        <f t="shared" ca="1" si="7"/>
        <v>-4213</v>
      </c>
    </row>
    <row r="94" spans="1:9" x14ac:dyDescent="0.3">
      <c r="A94" s="7">
        <v>46115</v>
      </c>
      <c r="B94" s="1" t="s">
        <v>12</v>
      </c>
      <c r="C94" s="1" t="s">
        <v>11</v>
      </c>
      <c r="D94" s="1" t="s">
        <v>28</v>
      </c>
      <c r="E94" s="1" t="s">
        <v>13</v>
      </c>
      <c r="F94" s="1">
        <f t="shared" ca="1" si="4"/>
        <v>9</v>
      </c>
      <c r="G94" s="1">
        <f t="shared" ca="1" si="5"/>
        <v>10038</v>
      </c>
      <c r="H94" s="1">
        <f t="shared" ca="1" si="6"/>
        <v>9507</v>
      </c>
      <c r="I94" s="1">
        <f t="shared" ca="1" si="7"/>
        <v>531</v>
      </c>
    </row>
    <row r="95" spans="1:9" x14ac:dyDescent="0.3">
      <c r="A95" s="7">
        <v>46116</v>
      </c>
      <c r="B95" s="1" t="s">
        <v>14</v>
      </c>
      <c r="C95" s="1" t="s">
        <v>5</v>
      </c>
      <c r="D95" s="1" t="s">
        <v>27</v>
      </c>
      <c r="E95" s="1" t="s">
        <v>15</v>
      </c>
      <c r="F95" s="1">
        <f t="shared" ca="1" si="4"/>
        <v>4</v>
      </c>
      <c r="G95" s="1">
        <f t="shared" ca="1" si="5"/>
        <v>13834</v>
      </c>
      <c r="H95" s="1">
        <f t="shared" ca="1" si="6"/>
        <v>24451</v>
      </c>
      <c r="I95" s="1">
        <f t="shared" ca="1" si="7"/>
        <v>-10617</v>
      </c>
    </row>
    <row r="96" spans="1:9" x14ac:dyDescent="0.3">
      <c r="A96" s="7">
        <v>46117</v>
      </c>
      <c r="B96" s="1" t="s">
        <v>6</v>
      </c>
      <c r="C96" s="1" t="s">
        <v>16</v>
      </c>
      <c r="D96" s="1" t="s">
        <v>27</v>
      </c>
      <c r="E96" s="1" t="s">
        <v>17</v>
      </c>
      <c r="F96" s="1">
        <f t="shared" ca="1" si="4"/>
        <v>5</v>
      </c>
      <c r="G96" s="1">
        <f t="shared" ca="1" si="5"/>
        <v>34356</v>
      </c>
      <c r="H96" s="1">
        <f t="shared" ca="1" si="6"/>
        <v>7727</v>
      </c>
      <c r="I96" s="1">
        <f t="shared" ca="1" si="7"/>
        <v>26629</v>
      </c>
    </row>
    <row r="97" spans="1:9" x14ac:dyDescent="0.3">
      <c r="A97" s="7">
        <v>46118</v>
      </c>
      <c r="B97" s="1" t="s">
        <v>9</v>
      </c>
      <c r="C97" s="1" t="s">
        <v>8</v>
      </c>
      <c r="D97" s="1" t="s">
        <v>28</v>
      </c>
      <c r="E97" s="1" t="s">
        <v>7</v>
      </c>
      <c r="F97" s="1">
        <f t="shared" ca="1" si="4"/>
        <v>3</v>
      </c>
      <c r="G97" s="1">
        <f t="shared" ca="1" si="5"/>
        <v>21737</v>
      </c>
      <c r="H97" s="1">
        <f t="shared" ca="1" si="6"/>
        <v>15512</v>
      </c>
      <c r="I97" s="1">
        <f t="shared" ca="1" si="7"/>
        <v>6225</v>
      </c>
    </row>
    <row r="98" spans="1:9" x14ac:dyDescent="0.3">
      <c r="A98" s="7">
        <v>46119</v>
      </c>
      <c r="B98" s="1" t="s">
        <v>12</v>
      </c>
      <c r="C98" s="1" t="s">
        <v>5</v>
      </c>
      <c r="D98" s="1" t="s">
        <v>27</v>
      </c>
      <c r="E98" s="1" t="s">
        <v>10</v>
      </c>
      <c r="F98" s="1">
        <f t="shared" ca="1" si="4"/>
        <v>10</v>
      </c>
      <c r="G98" s="1">
        <f t="shared" ca="1" si="5"/>
        <v>31883</v>
      </c>
      <c r="H98" s="1">
        <f t="shared" ca="1" si="6"/>
        <v>30732</v>
      </c>
      <c r="I98" s="1">
        <f t="shared" ca="1" si="7"/>
        <v>1151</v>
      </c>
    </row>
    <row r="99" spans="1:9" x14ac:dyDescent="0.3">
      <c r="A99" s="7">
        <v>46120</v>
      </c>
      <c r="B99" s="1" t="s">
        <v>14</v>
      </c>
      <c r="C99" s="1" t="s">
        <v>11</v>
      </c>
      <c r="D99" s="1" t="s">
        <v>28</v>
      </c>
      <c r="E99" s="1" t="s">
        <v>13</v>
      </c>
      <c r="F99" s="1">
        <f t="shared" ca="1" si="4"/>
        <v>8</v>
      </c>
      <c r="G99" s="1">
        <f t="shared" ca="1" si="5"/>
        <v>35377</v>
      </c>
      <c r="H99" s="1">
        <f t="shared" ca="1" si="6"/>
        <v>37551</v>
      </c>
      <c r="I99" s="1">
        <f t="shared" ca="1" si="7"/>
        <v>-2174</v>
      </c>
    </row>
    <row r="100" spans="1:9" x14ac:dyDescent="0.3">
      <c r="A100" s="7">
        <v>46121</v>
      </c>
      <c r="B100" s="1" t="s">
        <v>6</v>
      </c>
      <c r="C100" s="1" t="s">
        <v>16</v>
      </c>
      <c r="D100" s="1" t="s">
        <v>27</v>
      </c>
      <c r="E100" s="1" t="s">
        <v>15</v>
      </c>
      <c r="F100" s="1">
        <f t="shared" ca="1" si="4"/>
        <v>4</v>
      </c>
      <c r="G100" s="1">
        <f t="shared" ca="1" si="5"/>
        <v>15794</v>
      </c>
      <c r="H100" s="1">
        <f t="shared" ca="1" si="6"/>
        <v>17573</v>
      </c>
      <c r="I100" s="1">
        <f t="shared" ca="1" si="7"/>
        <v>-1779</v>
      </c>
    </row>
    <row r="101" spans="1:9" x14ac:dyDescent="0.3">
      <c r="A101" s="7">
        <v>46122</v>
      </c>
      <c r="B101" s="1" t="s">
        <v>9</v>
      </c>
      <c r="C101" s="1" t="s">
        <v>5</v>
      </c>
      <c r="D101" s="1" t="s">
        <v>27</v>
      </c>
      <c r="E101" s="1" t="s">
        <v>17</v>
      </c>
      <c r="F101" s="1">
        <f t="shared" ca="1" si="4"/>
        <v>10</v>
      </c>
      <c r="G101" s="1">
        <f t="shared" ca="1" si="5"/>
        <v>15265</v>
      </c>
      <c r="H101" s="1">
        <f t="shared" ca="1" si="6"/>
        <v>29989</v>
      </c>
      <c r="I101" s="1">
        <f t="shared" ca="1" si="7"/>
        <v>-14724</v>
      </c>
    </row>
    <row r="102" spans="1:9" x14ac:dyDescent="0.3">
      <c r="A102" s="7">
        <v>46123</v>
      </c>
      <c r="B102" s="1" t="s">
        <v>12</v>
      </c>
      <c r="C102" s="1" t="s">
        <v>8</v>
      </c>
      <c r="D102" s="1" t="s">
        <v>28</v>
      </c>
      <c r="E102" s="1" t="s">
        <v>7</v>
      </c>
      <c r="F102" s="1">
        <f t="shared" ca="1" si="4"/>
        <v>8</v>
      </c>
      <c r="G102" s="1">
        <f t="shared" ca="1" si="5"/>
        <v>22423</v>
      </c>
      <c r="H102" s="1">
        <f t="shared" ca="1" si="6"/>
        <v>27482</v>
      </c>
      <c r="I102" s="1">
        <f t="shared" ca="1" si="7"/>
        <v>-5059</v>
      </c>
    </row>
    <row r="103" spans="1:9" x14ac:dyDescent="0.3">
      <c r="A103" s="7">
        <v>46124</v>
      </c>
      <c r="B103" s="1" t="s">
        <v>14</v>
      </c>
      <c r="C103" s="1" t="s">
        <v>16</v>
      </c>
      <c r="D103" s="1" t="s">
        <v>27</v>
      </c>
      <c r="E103" s="1" t="s">
        <v>10</v>
      </c>
      <c r="F103" s="1">
        <f t="shared" ca="1" si="4"/>
        <v>1</v>
      </c>
      <c r="G103" s="1">
        <f t="shared" ca="1" si="5"/>
        <v>36486</v>
      </c>
      <c r="H103" s="1">
        <f t="shared" ca="1" si="6"/>
        <v>14402</v>
      </c>
      <c r="I103" s="1">
        <f t="shared" ca="1" si="7"/>
        <v>22084</v>
      </c>
    </row>
    <row r="104" spans="1:9" x14ac:dyDescent="0.3">
      <c r="A104" s="7">
        <v>46125</v>
      </c>
      <c r="B104" s="1" t="s">
        <v>6</v>
      </c>
      <c r="C104" s="1" t="s">
        <v>11</v>
      </c>
      <c r="D104" s="1" t="s">
        <v>28</v>
      </c>
      <c r="E104" s="1" t="s">
        <v>13</v>
      </c>
      <c r="F104" s="1">
        <f t="shared" ca="1" si="4"/>
        <v>3</v>
      </c>
      <c r="G104" s="1">
        <f t="shared" ca="1" si="5"/>
        <v>42667</v>
      </c>
      <c r="H104" s="1">
        <f t="shared" ca="1" si="6"/>
        <v>6094</v>
      </c>
      <c r="I104" s="1">
        <f t="shared" ca="1" si="7"/>
        <v>36573</v>
      </c>
    </row>
    <row r="105" spans="1:9" x14ac:dyDescent="0.3">
      <c r="A105" s="7">
        <v>46126</v>
      </c>
      <c r="B105" s="1" t="s">
        <v>9</v>
      </c>
      <c r="C105" s="1" t="s">
        <v>5</v>
      </c>
      <c r="D105" s="1" t="s">
        <v>27</v>
      </c>
      <c r="E105" s="1" t="s">
        <v>15</v>
      </c>
      <c r="F105" s="1">
        <f t="shared" ca="1" si="4"/>
        <v>8</v>
      </c>
      <c r="G105" s="1">
        <f t="shared" ca="1" si="5"/>
        <v>30983</v>
      </c>
      <c r="H105" s="1">
        <f t="shared" ca="1" si="6"/>
        <v>11244</v>
      </c>
      <c r="I105" s="1">
        <f t="shared" ca="1" si="7"/>
        <v>19739</v>
      </c>
    </row>
    <row r="106" spans="1:9" x14ac:dyDescent="0.3">
      <c r="A106" s="7">
        <v>46127</v>
      </c>
      <c r="B106" s="1" t="s">
        <v>12</v>
      </c>
      <c r="C106" s="1" t="s">
        <v>16</v>
      </c>
      <c r="D106" s="1" t="s">
        <v>27</v>
      </c>
      <c r="E106" s="1" t="s">
        <v>17</v>
      </c>
      <c r="F106" s="1">
        <f t="shared" ca="1" si="4"/>
        <v>10</v>
      </c>
      <c r="G106" s="1">
        <f t="shared" ca="1" si="5"/>
        <v>15325</v>
      </c>
      <c r="H106" s="1">
        <f t="shared" ca="1" si="6"/>
        <v>19083</v>
      </c>
      <c r="I106" s="1">
        <f t="shared" ca="1" si="7"/>
        <v>-3758</v>
      </c>
    </row>
    <row r="107" spans="1:9" x14ac:dyDescent="0.3">
      <c r="A107" s="7">
        <v>46128</v>
      </c>
      <c r="B107" s="1" t="s">
        <v>6</v>
      </c>
      <c r="C107" s="1" t="s">
        <v>5</v>
      </c>
      <c r="D107" s="1" t="s">
        <v>27</v>
      </c>
      <c r="E107" s="1" t="s">
        <v>7</v>
      </c>
      <c r="F107" s="1">
        <f t="shared" ca="1" si="4"/>
        <v>4</v>
      </c>
      <c r="G107" s="1">
        <f t="shared" ca="1" si="5"/>
        <v>49814</v>
      </c>
      <c r="H107" s="1">
        <f t="shared" ca="1" si="6"/>
        <v>10863</v>
      </c>
      <c r="I107" s="1">
        <f t="shared" ca="1" si="7"/>
        <v>38951</v>
      </c>
    </row>
    <row r="108" spans="1:9" x14ac:dyDescent="0.3">
      <c r="A108" s="7">
        <v>46129</v>
      </c>
      <c r="B108" s="1" t="s">
        <v>9</v>
      </c>
      <c r="C108" s="1" t="s">
        <v>8</v>
      </c>
      <c r="D108" s="1" t="s">
        <v>28</v>
      </c>
      <c r="E108" s="1" t="s">
        <v>10</v>
      </c>
      <c r="F108" s="1">
        <f t="shared" ca="1" si="4"/>
        <v>9</v>
      </c>
      <c r="G108" s="1">
        <f t="shared" ca="1" si="5"/>
        <v>40138</v>
      </c>
      <c r="H108" s="1">
        <f t="shared" ca="1" si="6"/>
        <v>37242</v>
      </c>
      <c r="I108" s="1">
        <f t="shared" ca="1" si="7"/>
        <v>2896</v>
      </c>
    </row>
    <row r="109" spans="1:9" x14ac:dyDescent="0.3">
      <c r="A109" s="7">
        <v>46130</v>
      </c>
      <c r="B109" s="1" t="s">
        <v>12</v>
      </c>
      <c r="C109" s="1" t="s">
        <v>11</v>
      </c>
      <c r="D109" s="1" t="s">
        <v>28</v>
      </c>
      <c r="E109" s="1" t="s">
        <v>13</v>
      </c>
      <c r="F109" s="1">
        <f t="shared" ca="1" si="4"/>
        <v>8</v>
      </c>
      <c r="G109" s="1">
        <f t="shared" ca="1" si="5"/>
        <v>46598</v>
      </c>
      <c r="H109" s="1">
        <f t="shared" ca="1" si="6"/>
        <v>15013</v>
      </c>
      <c r="I109" s="1">
        <f t="shared" ca="1" si="7"/>
        <v>31585</v>
      </c>
    </row>
    <row r="110" spans="1:9" x14ac:dyDescent="0.3">
      <c r="A110" s="7">
        <v>46131</v>
      </c>
      <c r="B110" s="1" t="s">
        <v>14</v>
      </c>
      <c r="C110" s="1" t="s">
        <v>5</v>
      </c>
      <c r="D110" s="1" t="s">
        <v>27</v>
      </c>
      <c r="E110" s="1" t="s">
        <v>15</v>
      </c>
      <c r="F110" s="1">
        <f t="shared" ca="1" si="4"/>
        <v>3</v>
      </c>
      <c r="G110" s="1">
        <f t="shared" ca="1" si="5"/>
        <v>38989</v>
      </c>
      <c r="H110" s="1">
        <f t="shared" ca="1" si="6"/>
        <v>39883</v>
      </c>
      <c r="I110" s="1">
        <f t="shared" ca="1" si="7"/>
        <v>-894</v>
      </c>
    </row>
    <row r="111" spans="1:9" x14ac:dyDescent="0.3">
      <c r="A111" s="7">
        <v>46132</v>
      </c>
      <c r="B111" s="1" t="s">
        <v>6</v>
      </c>
      <c r="C111" s="1" t="s">
        <v>16</v>
      </c>
      <c r="D111" s="1" t="s">
        <v>27</v>
      </c>
      <c r="E111" s="1" t="s">
        <v>17</v>
      </c>
      <c r="F111" s="1">
        <f t="shared" ca="1" si="4"/>
        <v>2</v>
      </c>
      <c r="G111" s="1">
        <f t="shared" ca="1" si="5"/>
        <v>17778</v>
      </c>
      <c r="H111" s="1">
        <f t="shared" ca="1" si="6"/>
        <v>21925</v>
      </c>
      <c r="I111" s="1">
        <f t="shared" ca="1" si="7"/>
        <v>-4147</v>
      </c>
    </row>
    <row r="112" spans="1:9" x14ac:dyDescent="0.3">
      <c r="A112" s="7">
        <v>46133</v>
      </c>
      <c r="B112" s="1" t="s">
        <v>9</v>
      </c>
      <c r="C112" s="1" t="s">
        <v>8</v>
      </c>
      <c r="D112" s="1" t="s">
        <v>28</v>
      </c>
      <c r="E112" s="1" t="s">
        <v>7</v>
      </c>
      <c r="F112" s="1">
        <f t="shared" ca="1" si="4"/>
        <v>3</v>
      </c>
      <c r="G112" s="1">
        <f t="shared" ca="1" si="5"/>
        <v>10757</v>
      </c>
      <c r="H112" s="1">
        <f t="shared" ca="1" si="6"/>
        <v>5953</v>
      </c>
      <c r="I112" s="1">
        <f t="shared" ca="1" si="7"/>
        <v>4804</v>
      </c>
    </row>
    <row r="113" spans="1:9" x14ac:dyDescent="0.3">
      <c r="A113" s="7">
        <v>46134</v>
      </c>
      <c r="B113" s="1" t="s">
        <v>12</v>
      </c>
      <c r="C113" s="1" t="s">
        <v>5</v>
      </c>
      <c r="D113" s="1" t="s">
        <v>27</v>
      </c>
      <c r="E113" s="1" t="s">
        <v>10</v>
      </c>
      <c r="F113" s="1">
        <f t="shared" ca="1" si="4"/>
        <v>4</v>
      </c>
      <c r="G113" s="1">
        <f t="shared" ca="1" si="5"/>
        <v>17476</v>
      </c>
      <c r="H113" s="1">
        <f t="shared" ca="1" si="6"/>
        <v>31426</v>
      </c>
      <c r="I113" s="1">
        <f t="shared" ca="1" si="7"/>
        <v>-13950</v>
      </c>
    </row>
    <row r="114" spans="1:9" x14ac:dyDescent="0.3">
      <c r="A114" s="7">
        <v>46135</v>
      </c>
      <c r="B114" s="1" t="s">
        <v>14</v>
      </c>
      <c r="C114" s="1" t="s">
        <v>11</v>
      </c>
      <c r="D114" s="1" t="s">
        <v>28</v>
      </c>
      <c r="E114" s="1" t="s">
        <v>13</v>
      </c>
      <c r="F114" s="1">
        <f t="shared" ca="1" si="4"/>
        <v>4</v>
      </c>
      <c r="G114" s="1">
        <f t="shared" ca="1" si="5"/>
        <v>26345</v>
      </c>
      <c r="H114" s="1">
        <f t="shared" ca="1" si="6"/>
        <v>35598</v>
      </c>
      <c r="I114" s="1">
        <f t="shared" ca="1" si="7"/>
        <v>-9253</v>
      </c>
    </row>
    <row r="115" spans="1:9" x14ac:dyDescent="0.3">
      <c r="A115" s="7">
        <v>46136</v>
      </c>
      <c r="B115" s="1" t="s">
        <v>6</v>
      </c>
      <c r="C115" s="1" t="s">
        <v>16</v>
      </c>
      <c r="D115" s="1" t="s">
        <v>27</v>
      </c>
      <c r="E115" s="1" t="s">
        <v>15</v>
      </c>
      <c r="F115" s="1">
        <f t="shared" ca="1" si="4"/>
        <v>7</v>
      </c>
      <c r="G115" s="1">
        <f t="shared" ca="1" si="5"/>
        <v>10025</v>
      </c>
      <c r="H115" s="1">
        <f t="shared" ca="1" si="6"/>
        <v>10572</v>
      </c>
      <c r="I115" s="1">
        <f t="shared" ca="1" si="7"/>
        <v>-547</v>
      </c>
    </row>
    <row r="116" spans="1:9" x14ac:dyDescent="0.3">
      <c r="A116" s="7">
        <v>46137</v>
      </c>
      <c r="B116" s="1" t="s">
        <v>9</v>
      </c>
      <c r="C116" s="1" t="s">
        <v>5</v>
      </c>
      <c r="D116" s="1" t="s">
        <v>27</v>
      </c>
      <c r="E116" s="1" t="s">
        <v>17</v>
      </c>
      <c r="F116" s="1">
        <f t="shared" ca="1" si="4"/>
        <v>10</v>
      </c>
      <c r="G116" s="1">
        <f t="shared" ca="1" si="5"/>
        <v>45198</v>
      </c>
      <c r="H116" s="1">
        <f t="shared" ca="1" si="6"/>
        <v>33677</v>
      </c>
      <c r="I116" s="1">
        <f t="shared" ca="1" si="7"/>
        <v>11521</v>
      </c>
    </row>
    <row r="117" spans="1:9" x14ac:dyDescent="0.3">
      <c r="A117" s="7">
        <v>46138</v>
      </c>
      <c r="B117" s="1" t="s">
        <v>12</v>
      </c>
      <c r="C117" s="1" t="s">
        <v>8</v>
      </c>
      <c r="D117" s="1" t="s">
        <v>28</v>
      </c>
      <c r="E117" s="1" t="s">
        <v>7</v>
      </c>
      <c r="F117" s="1">
        <f t="shared" ca="1" si="4"/>
        <v>7</v>
      </c>
      <c r="G117" s="1">
        <f t="shared" ca="1" si="5"/>
        <v>29977</v>
      </c>
      <c r="H117" s="1">
        <f t="shared" ca="1" si="6"/>
        <v>14577</v>
      </c>
      <c r="I117" s="1">
        <f t="shared" ca="1" si="7"/>
        <v>15400</v>
      </c>
    </row>
    <row r="118" spans="1:9" x14ac:dyDescent="0.3">
      <c r="A118" s="7">
        <v>46139</v>
      </c>
      <c r="B118" s="1" t="s">
        <v>14</v>
      </c>
      <c r="C118" s="1" t="s">
        <v>16</v>
      </c>
      <c r="D118" s="1" t="s">
        <v>27</v>
      </c>
      <c r="E118" s="1" t="s">
        <v>10</v>
      </c>
      <c r="F118" s="1">
        <f t="shared" ca="1" si="4"/>
        <v>4</v>
      </c>
      <c r="G118" s="1">
        <f t="shared" ca="1" si="5"/>
        <v>15342</v>
      </c>
      <c r="H118" s="1">
        <f t="shared" ca="1" si="6"/>
        <v>15196</v>
      </c>
      <c r="I118" s="1">
        <f t="shared" ca="1" si="7"/>
        <v>146</v>
      </c>
    </row>
    <row r="119" spans="1:9" x14ac:dyDescent="0.3">
      <c r="A119" s="7">
        <v>46140</v>
      </c>
      <c r="B119" s="1" t="s">
        <v>6</v>
      </c>
      <c r="C119" s="1" t="s">
        <v>11</v>
      </c>
      <c r="D119" s="1" t="s">
        <v>28</v>
      </c>
      <c r="E119" s="1" t="s">
        <v>13</v>
      </c>
      <c r="F119" s="1">
        <f t="shared" ca="1" si="4"/>
        <v>10</v>
      </c>
      <c r="G119" s="1">
        <f t="shared" ca="1" si="5"/>
        <v>25171</v>
      </c>
      <c r="H119" s="1">
        <f t="shared" ca="1" si="6"/>
        <v>25168</v>
      </c>
      <c r="I119" s="1">
        <f t="shared" ca="1" si="7"/>
        <v>3</v>
      </c>
    </row>
    <row r="120" spans="1:9" x14ac:dyDescent="0.3">
      <c r="A120" s="7">
        <v>46141</v>
      </c>
      <c r="B120" s="1" t="s">
        <v>9</v>
      </c>
      <c r="C120" s="1" t="s">
        <v>5</v>
      </c>
      <c r="D120" s="1" t="s">
        <v>27</v>
      </c>
      <c r="E120" s="1" t="s">
        <v>15</v>
      </c>
      <c r="F120" s="1">
        <f t="shared" ca="1" si="4"/>
        <v>1</v>
      </c>
      <c r="G120" s="1">
        <f t="shared" ca="1" si="5"/>
        <v>18333</v>
      </c>
      <c r="H120" s="1">
        <f t="shared" ca="1" si="6"/>
        <v>28518</v>
      </c>
      <c r="I120" s="1">
        <f t="shared" ca="1" si="7"/>
        <v>-10185</v>
      </c>
    </row>
    <row r="121" spans="1:9" x14ac:dyDescent="0.3">
      <c r="A121" s="7">
        <v>46142</v>
      </c>
      <c r="B121" s="1" t="s">
        <v>12</v>
      </c>
      <c r="C121" s="1" t="s">
        <v>16</v>
      </c>
      <c r="D121" s="1" t="s">
        <v>27</v>
      </c>
      <c r="E121" s="1" t="s">
        <v>17</v>
      </c>
      <c r="F121" s="1">
        <f t="shared" ca="1" si="4"/>
        <v>2</v>
      </c>
      <c r="G121" s="1">
        <f t="shared" ca="1" si="5"/>
        <v>26580</v>
      </c>
      <c r="H121" s="1">
        <f t="shared" ca="1" si="6"/>
        <v>12112</v>
      </c>
      <c r="I121" s="1">
        <f t="shared" ca="1" si="7"/>
        <v>14468</v>
      </c>
    </row>
  </sheetData>
  <mergeCells count="4">
    <mergeCell ref="K2:N6"/>
    <mergeCell ref="K10:N15"/>
    <mergeCell ref="K18:N23"/>
    <mergeCell ref="K26:N3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pivot1</vt:lpstr>
      <vt:lpstr>pivot2</vt:lpstr>
      <vt:lpstr>pivot3</vt:lpstr>
      <vt:lpstr>pivot4</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Gopireddy</dc:creator>
  <cp:lastModifiedBy>Rakesh Gopireddy</cp:lastModifiedBy>
  <dcterms:created xsi:type="dcterms:W3CDTF">2026-05-11T06:00:20Z</dcterms:created>
  <dcterms:modified xsi:type="dcterms:W3CDTF">2026-05-12T07:11:45Z</dcterms:modified>
</cp:coreProperties>
</file>